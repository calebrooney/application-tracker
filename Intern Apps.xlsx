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caleb/Desktop/"/>
    </mc:Choice>
  </mc:AlternateContent>
  <xr:revisionPtr revIDLastSave="0" documentId="13_ncr:1_{CA4AD325-59F5-6C47-A17E-C3ED74A1D7A4}" xr6:coauthVersionLast="47" xr6:coauthVersionMax="47" xr10:uidLastSave="{00000000-0000-0000-0000-000000000000}"/>
  <bookViews>
    <workbookView xWindow="0" yWindow="760" windowWidth="29400" windowHeight="17140" xr2:uid="{A8DC14D5-406D-644A-B59C-CD48FC908826}"/>
  </bookViews>
  <sheets>
    <sheet name="Sheet1" sheetId="1" r:id="rId1"/>
    <sheet name="Sheet4" sheetId="6" r:id="rId2"/>
    <sheet name="cleantech SD members" sheetId="3" r:id="rId3"/>
    <sheet name="Sheet2" sheetId="4" r:id="rId4"/>
    <sheet name="Sheet3"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7" i="5" l="1"/>
  <c r="N24" i="5"/>
  <c r="L23" i="5"/>
  <c r="L22" i="5"/>
  <c r="L21" i="5"/>
  <c r="L20"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<sst xmlns="http://schemas.openxmlformats.org/spreadsheetml/2006/main" count="821" uniqueCount="499">
  <si>
    <t>Role</t>
  </si>
  <si>
    <t>Company</t>
  </si>
  <si>
    <t>app date</t>
  </si>
  <si>
    <t>location</t>
  </si>
  <si>
    <t>houston</t>
  </si>
  <si>
    <t>location type</t>
  </si>
  <si>
    <t>onsite</t>
  </si>
  <si>
    <t>Calpine</t>
  </si>
  <si>
    <t>due date/expected response</t>
  </si>
  <si>
    <t>link</t>
  </si>
  <si>
    <t>https://ucsd.joinhandshake.com/jobs/9986816</t>
  </si>
  <si>
    <t>Commercial analytics</t>
  </si>
  <si>
    <t>https://pg.wd5.myworkdayjobs.com/en-US/1000/job/Procter---Gamble---Consumer---Market-Knowledge--Analytics---Insights-Internship--Advanced-Analytics----Summer-2026_R000137235</t>
  </si>
  <si>
    <t>Consumer &amp; Market Knowledge: Analytics &amp; Insights Internship (Advanced Analytics) – Summer 2026</t>
  </si>
  <si>
    <t>Procter &amp; Gamble</t>
  </si>
  <si>
    <t>hybrid</t>
  </si>
  <si>
    <t>29-50</t>
  </si>
  <si>
    <t>hourly $</t>
  </si>
  <si>
    <t>Cenergistic</t>
  </si>
  <si>
    <t>M&amp;V Data analytics intern</t>
  </si>
  <si>
    <t>dallas</t>
  </si>
  <si>
    <t>20-30</t>
  </si>
  <si>
    <t>https://ucsd.joinhandshake.com/jobs/10292629</t>
  </si>
  <si>
    <t>Avangrid</t>
  </si>
  <si>
    <t>2026 Summer Data Analytics/Data Science Intern</t>
  </si>
  <si>
    <t>18-32</t>
  </si>
  <si>
    <t>https://ucsd.joinhandshake.com/jobs/10269572</t>
  </si>
  <si>
    <t>Axos</t>
  </si>
  <si>
    <t>San Diego</t>
  </si>
  <si>
    <t>20-25</t>
  </si>
  <si>
    <t>Data Science Intern</t>
  </si>
  <si>
    <t>Startegy and Data Analyst Intern</t>
  </si>
  <si>
    <t>https://axos.wd5.myworkdayjobs.com/en-US/Axos/job/Strategy---Data-Analyst-Intern_JR3588</t>
  </si>
  <si>
    <t>https://axos.wd5.myworkdayjobs.com/en-US/Axos/job/Data-Science-Intern---Summer-2026_JR3587</t>
  </si>
  <si>
    <t>Digital Business Analyst Intern</t>
  </si>
  <si>
    <t>TRC</t>
  </si>
  <si>
    <t>ENERGY related?</t>
  </si>
  <si>
    <t>Bloom Energy</t>
  </si>
  <si>
    <t>San Jose</t>
  </si>
  <si>
    <t>Supply Chain Demand Forecasting Intern</t>
  </si>
  <si>
    <t>Milliman</t>
  </si>
  <si>
    <t>Analytics Intern</t>
  </si>
  <si>
    <t>Jacobs</t>
  </si>
  <si>
    <t>San Diego (or Irvine CA)</t>
  </si>
  <si>
    <t>19-29</t>
  </si>
  <si>
    <t>SoCal Edison</t>
  </si>
  <si>
    <t>Santa Ana, CA</t>
  </si>
  <si>
    <t>DA/DS</t>
  </si>
  <si>
    <t>DA/DS/AM/ST</t>
  </si>
  <si>
    <t>17-28</t>
  </si>
  <si>
    <t>Rosemead, CA</t>
  </si>
  <si>
    <t>Irwindale, CA</t>
  </si>
  <si>
    <t>Santa Monica, CA</t>
  </si>
  <si>
    <t>id</t>
  </si>
  <si>
    <t>Victorville, CA</t>
  </si>
  <si>
    <t>Alhambra, CA</t>
  </si>
  <si>
    <t>Pomona , CA</t>
  </si>
  <si>
    <t>Lancaster, CA</t>
  </si>
  <si>
    <t>Fullerton, CA</t>
  </si>
  <si>
    <t>Sustainability Business Analyst Intern</t>
  </si>
  <si>
    <t>Solar Turbines</t>
  </si>
  <si>
    <t>Onsite</t>
  </si>
  <si>
    <t>22.50-39</t>
  </si>
  <si>
    <t>Data Steward Intern</t>
  </si>
  <si>
    <t>R0000313639</t>
  </si>
  <si>
    <t>R0000313665</t>
  </si>
  <si>
    <t>REF7634R</t>
  </si>
  <si>
    <t>LLNL</t>
  </si>
  <si>
    <t>DSI Graduate DS intern</t>
  </si>
  <si>
    <t>Livermore, CA</t>
  </si>
  <si>
    <t>9950/month</t>
  </si>
  <si>
    <t>JB0064510</t>
  </si>
  <si>
    <t>ServiceNow Security Organization</t>
  </si>
  <si>
    <t>Data Informatics Intern</t>
  </si>
  <si>
    <t>JB0064511</t>
  </si>
  <si>
    <t>Product Business Analyst Intern</t>
  </si>
  <si>
    <t>STR</t>
  </si>
  <si>
    <t>Analytics and Command &amp; Control (C2) Mission Engineer Summer Intern</t>
  </si>
  <si>
    <t>Carlsbad, Woburn</t>
  </si>
  <si>
    <t>25-37</t>
  </si>
  <si>
    <t>BrightNight</t>
  </si>
  <si>
    <t>Energy Analyst Intern</t>
  </si>
  <si>
    <t>remote</t>
  </si>
  <si>
    <t>Bus Ops Analyst Intern (DT)</t>
  </si>
  <si>
    <t>Forecast Planner Intern</t>
  </si>
  <si>
    <t>ICF</t>
  </si>
  <si>
    <t>Reston, VA</t>
  </si>
  <si>
    <t>Interview</t>
  </si>
  <si>
    <t>Statistical Programming</t>
  </si>
  <si>
    <t>Hologic</t>
  </si>
  <si>
    <t>26-35</t>
  </si>
  <si>
    <t>cleantech target companies</t>
  </si>
  <si>
    <t>ie based in San Diego</t>
  </si>
  <si>
    <t>https://cleantechsandiego.org/member-directory/</t>
  </si>
  <si>
    <t>ENERGY &amp; TECHNOLOGY</t>
  </si>
  <si>
    <t>4th State Energies</t>
  </si>
  <si>
    <t>AES Corporation/AES Clean Energy</t>
  </si>
  <si>
    <t>Aggreko</t>
  </si>
  <si>
    <t>Alderbuck Energy</t>
  </si>
  <si>
    <t>American Lithium Energy</t>
  </si>
  <si>
    <t>AquaPoro</t>
  </si>
  <si>
    <t>Arcadis</t>
  </si>
  <si>
    <t>Arevon</t>
  </si>
  <si>
    <t>Baker Electric Home Energy</t>
  </si>
  <si>
    <t>Benchmark Labs</t>
  </si>
  <si>
    <t>Black &amp; Veatch</t>
  </si>
  <si>
    <t>Calpine Energy Solutions</t>
  </si>
  <si>
    <t>Carbon Blade</t>
  </si>
  <si>
    <t>CanCoverIt</t>
  </si>
  <si>
    <t>ChangeAerial</t>
  </si>
  <si>
    <t>ChargeNet</t>
  </si>
  <si>
    <t>Clean Energy Alliance</t>
  </si>
  <si>
    <t>Collective Sun</t>
  </si>
  <si>
    <t>Community Energy Labs</t>
  </si>
  <si>
    <t>Controlled Thermal Resources</t>
  </si>
  <si>
    <t>Cordia</t>
  </si>
  <si>
    <t>Emission Free Generators</t>
  </si>
  <si>
    <t>Enersion</t>
  </si>
  <si>
    <t>EnerSmart Storage</t>
  </si>
  <si>
    <t>Eversun</t>
  </si>
  <si>
    <t>ExPost</t>
  </si>
  <si>
    <t>Fullmark Energy</t>
  </si>
  <si>
    <t>General Engineering and Research</t>
  </si>
  <si>
    <t>GridWrap Inc.</t>
  </si>
  <si>
    <t>Harvest</t>
  </si>
  <si>
    <t>HelioVolta</t>
  </si>
  <si>
    <t>HNO Hydrogen Generators</t>
  </si>
  <si>
    <t>igrenEnergi</t>
  </si>
  <si>
    <t>IKE Smart City</t>
  </si>
  <si>
    <t>Innovasion Labs PINC</t>
  </si>
  <si>
    <t>Ivy Energy</t>
  </si>
  <si>
    <t>Looq</t>
  </si>
  <si>
    <t>LS Power</t>
  </si>
  <si>
    <t>Mayfield Renewables</t>
  </si>
  <si>
    <t>Mysa</t>
  </si>
  <si>
    <t>NeoCharge</t>
  </si>
  <si>
    <t>Nuvve</t>
  </si>
  <si>
    <t>Oberon Fuels</t>
  </si>
  <si>
    <t>Ocean Motion Technologies</t>
  </si>
  <si>
    <t>OPTERRA Energy Services</t>
  </si>
  <si>
    <t>Paired Power</t>
  </si>
  <si>
    <t>Proper Voltage</t>
  </si>
  <si>
    <t>RedoxBlox</t>
  </si>
  <si>
    <t>ReJoule</t>
  </si>
  <si>
    <t>RockeTruck</t>
  </si>
  <si>
    <t>San Diego Community Power</t>
  </si>
  <si>
    <t>San Diego Gas &amp; Electric</t>
  </si>
  <si>
    <t>Scale Microgrids</t>
  </si>
  <si>
    <t>Smartville</t>
  </si>
  <si>
    <t>SolarKal</t>
  </si>
  <si>
    <t>Sonocharge</t>
  </si>
  <si>
    <t>South 8</t>
  </si>
  <si>
    <t>Sunrun</t>
  </si>
  <si>
    <t>Terra-Gen</t>
  </si>
  <si>
    <t>Tour Engine</t>
  </si>
  <si>
    <t>Tyfast</t>
  </si>
  <si>
    <t>UNIGRID</t>
  </si>
  <si>
    <t>VECKTA</t>
  </si>
  <si>
    <t>Watts on Water</t>
  </si>
  <si>
    <t>Wellhead Electric Company</t>
  </si>
  <si>
    <t>Znrg Innovations</t>
  </si>
  <si>
    <t>PROFESSIONAL SERVICES</t>
  </si>
  <si>
    <t>33 North Energy</t>
  </si>
  <si>
    <t>Baker Tilly (formerly Moss Adams)</t>
  </si>
  <si>
    <t>Coffman Engineers</t>
  </si>
  <si>
    <t>CohnReznick</t>
  </si>
  <si>
    <t>Evolution Affairs</t>
  </si>
  <si>
    <t>Foley &amp; Lardner</t>
  </si>
  <si>
    <t>Goodwin</t>
  </si>
  <si>
    <t>Latham &amp; Watkins</t>
  </si>
  <si>
    <t>L J Manz Consulting</t>
  </si>
  <si>
    <t>Mintz</t>
  </si>
  <si>
    <t>MFI</t>
  </si>
  <si>
    <t>Morrison Foerster</t>
  </si>
  <si>
    <t>Newfront</t>
  </si>
  <si>
    <t>Outfit</t>
  </si>
  <si>
    <t>Perkins Coie</t>
  </si>
  <si>
    <t>Policy Pulse</t>
  </si>
  <si>
    <t>Procopio, Cory, Hargreaves &amp; Savitch</t>
  </si>
  <si>
    <t>Promar Designs</t>
  </si>
  <si>
    <t>S Curve Strategies</t>
  </si>
  <si>
    <t>Stoel Rives</t>
  </si>
  <si>
    <t>Trellis-Strategy</t>
  </si>
  <si>
    <t>Voit Real Estate Services</t>
  </si>
  <si>
    <t>(W)right On Communications</t>
  </si>
  <si>
    <t>FINANCIAL</t>
  </si>
  <si>
    <t>Clear Creek Investments</t>
  </si>
  <si>
    <t>Forestview Advisors</t>
  </si>
  <si>
    <t>Lampl Family Foundation/EcoElectron Ventures</t>
  </si>
  <si>
    <t>Luminia</t>
  </si>
  <si>
    <t>Marathon Capital</t>
  </si>
  <si>
    <t>North American Development Bank</t>
  </si>
  <si>
    <t>NuFund Venture Group</t>
  </si>
  <si>
    <t>Toronto Stock Exchange</t>
  </si>
  <si>
    <t>BUILDERS &amp; CONSTRUCTION</t>
  </si>
  <si>
    <t>HG Fenton</t>
  </si>
  <si>
    <t>SEC</t>
  </si>
  <si>
    <t>DS intern</t>
  </si>
  <si>
    <t>Element Biosciences</t>
  </si>
  <si>
    <t>25-40</t>
  </si>
  <si>
    <t>ERP &amp; Data systems specialist</t>
  </si>
  <si>
    <t>Event Network</t>
  </si>
  <si>
    <t>Strategy Insights and Planning Associate - Intern </t>
  </si>
  <si>
    <t>ZS</t>
  </si>
  <si>
    <t>2025-23408</t>
  </si>
  <si>
    <t>Santa Barbara</t>
  </si>
  <si>
    <t>Engie</t>
  </si>
  <si>
    <t>Intern, Data Management - Renewable Energy GIS</t>
  </si>
  <si>
    <t>23.5-33.5</t>
  </si>
  <si>
    <t>Macroeconomic Data Science Intern</t>
  </si>
  <si>
    <t>Realty Income</t>
  </si>
  <si>
    <t>Del Mar</t>
  </si>
  <si>
    <t>21-25</t>
  </si>
  <si>
    <t>R-100098</t>
  </si>
  <si>
    <t>Information Systems Intern</t>
  </si>
  <si>
    <t>Biomed Realty</t>
  </si>
  <si>
    <t>SD location?</t>
  </si>
  <si>
    <t>no</t>
  </si>
  <si>
    <t>yes</t>
  </si>
  <si>
    <t>carlsbad/vista</t>
  </si>
  <si>
    <t>eh</t>
  </si>
  <si>
    <t>escondido</t>
  </si>
  <si>
    <t>remote but close</t>
  </si>
  <si>
    <t>weather data forecasting should hit their line</t>
  </si>
  <si>
    <t>duh</t>
  </si>
  <si>
    <t>eh san marcos</t>
  </si>
  <si>
    <t>basically esco</t>
  </si>
  <si>
    <t>only 5 employees and no website</t>
  </si>
  <si>
    <t>small, doing anomoly detection software</t>
  </si>
  <si>
    <t>idk seems like LA</t>
  </si>
  <si>
    <t>small but does some DS</t>
  </si>
  <si>
    <t>carlsbad</t>
  </si>
  <si>
    <t>energy analytics- wunnam yakubu</t>
  </si>
  <si>
    <t>small, might be worth reaching out</t>
  </si>
  <si>
    <t>no seems remote tho</t>
  </si>
  <si>
    <t>have some DS stuff</t>
  </si>
  <si>
    <t>Internships in DS, Stats, Math, etc</t>
  </si>
  <si>
    <t>MITRE corporation</t>
  </si>
  <si>
    <t>R115478</t>
  </si>
  <si>
    <t>possibly some analytics/ds intern opps</t>
  </si>
  <si>
    <t>sd?</t>
  </si>
  <si>
    <t>encinitas</t>
  </si>
  <si>
    <t>only one guy</t>
  </si>
  <si>
    <t>po box?</t>
  </si>
  <si>
    <t>doesn’t seem too promising, very small</t>
  </si>
  <si>
    <t>efficient lighting startup, 27 heads could be worthwhile</t>
  </si>
  <si>
    <t>email resume through careers page</t>
  </si>
  <si>
    <t>have data/analytics could be worth a shot</t>
  </si>
  <si>
    <t>seems to be just one lady, materials science stuff not really worth</t>
  </si>
  <si>
    <t>only 4 people</t>
  </si>
  <si>
    <t>carlsbad?</t>
  </si>
  <si>
    <t>contact for oppurtunites- data driven asset management</t>
  </si>
  <si>
    <t>maybe, prob a longshot, 9 employees</t>
  </si>
  <si>
    <t>possibly?</t>
  </si>
  <si>
    <t>have analytics product, but 33/35 seem to be in India</t>
  </si>
  <si>
    <t>probably long shot</t>
  </si>
  <si>
    <t>Yes</t>
  </si>
  <si>
    <t>has data team, definietly reach out</t>
  </si>
  <si>
    <t>raymond zhao</t>
  </si>
  <si>
    <t>davis g (head of DS)</t>
  </si>
  <si>
    <t>does modeling/ML def reach out</t>
  </si>
  <si>
    <t>possibly worthwhile</t>
  </si>
  <si>
    <t>Maria medavallia (lead DS)</t>
  </si>
  <si>
    <t>perhaps, nothing obvious</t>
  </si>
  <si>
    <t>def reach out</t>
  </si>
  <si>
    <t>ocean+energy, data analytics</t>
  </si>
  <si>
    <t>Alexander Orona (Chief DS/software dev, UCSD DS alum)</t>
  </si>
  <si>
    <t>cleantech sessions of interest</t>
  </si>
  <si>
    <t>11-11:30 AM</t>
  </si>
  <si>
    <t>Insuring the Path to Scale</t>
  </si>
  <si>
    <t>Early climate deployments are running into a mismatch: the insurance market wasn’t built for companies without long operating histories or proven performance data. There’s capital available, but many early impact technologies stall if the risks they carry can’t be easily priced. A handful of forward thinkers are starting to change that. Let’s disucss how insurance can unlock first-of-a-kind (FOAK) deployments; including revenue protection models and insurance mechanisms with catalytic anchor capital. Join us to explore tools changing the game for early impact projects</t>
  </si>
  <si>
    <t>meh</t>
  </si>
  <si>
    <t>general interest application!</t>
  </si>
  <si>
    <t>hard to tell</t>
  </si>
  <si>
    <t>Esco</t>
  </si>
  <si>
    <t>not very promising, has a contact page tho so can longshot. No Linkedin</t>
  </si>
  <si>
    <t>Have both DA and DS on staff, def reach out</t>
  </si>
  <si>
    <t>Ryan Hanke, DA manager</t>
  </si>
  <si>
    <t>Lucas Utouh, Sr. dir of DA</t>
  </si>
  <si>
    <t>have DS</t>
  </si>
  <si>
    <t>Eric Sebring, Lead DS &amp; BI</t>
  </si>
  <si>
    <t>Chuck Huhm, Principal DS, mutual to Pavel</t>
  </si>
  <si>
    <t>Jesse Kolb, Analytics manager</t>
  </si>
  <si>
    <t>Ari Gaffen, Prinicpal DA, UCSD alum</t>
  </si>
  <si>
    <t>general interest app</t>
  </si>
  <si>
    <t>Phi Nguyen, DA/DS manager, connected to Pavel</t>
  </si>
  <si>
    <t>Center for Sustainable Energy (CSE)</t>
  </si>
  <si>
    <t>yes/remote</t>
  </si>
  <si>
    <t>seek data scientists, def reach out</t>
  </si>
  <si>
    <t>gabi stebbins works there</t>
  </si>
  <si>
    <t>may be remote possibly, have a general interest app</t>
  </si>
  <si>
    <t>applied to a couple roles, def talk to someone if I find them</t>
  </si>
  <si>
    <t>somerville lol</t>
  </si>
  <si>
    <t>can email careers page but prob not worth</t>
  </si>
  <si>
    <t>have a data engineer, so maybe give a shot. Contact through site</t>
  </si>
  <si>
    <t>10k+ employees, plenty of DS. Signed up for job alerts, def reach out</t>
  </si>
  <si>
    <t>got some data stuff, can give their contact a shot</t>
  </si>
  <si>
    <t>looks unlikely</t>
  </si>
  <si>
    <t>don’t see any data, but they have a contact form, coult try</t>
  </si>
  <si>
    <t>10 people, none in data</t>
  </si>
  <si>
    <t>analytics, have roles in energy modeling. Def reach out, perhaps use contact form</t>
  </si>
  <si>
    <t>only 2 heads</t>
  </si>
  <si>
    <t>mostly engineers, not very promising</t>
  </si>
  <si>
    <t>https://www.cohnreznick.com/people?region=california</t>
  </si>
  <si>
    <t>SD team  focused on renewable, and analytics are involved. Internships seem less likely, but open in early jan</t>
  </si>
  <si>
    <t>only two ladies, maybe lingshot</t>
  </si>
  <si>
    <t>big law firm, not promising</t>
  </si>
  <si>
    <t>one woman show</t>
  </si>
  <si>
    <t xml:space="preserve">consulting, has food &amp; bev stuff tho </t>
  </si>
  <si>
    <t>very small</t>
  </si>
  <si>
    <t>ai-powered energy stuff, very small but could be a hail mary</t>
  </si>
  <si>
    <t>not promising</t>
  </si>
  <si>
    <t>2 people? Seems like longshot</t>
  </si>
  <si>
    <t>ehh</t>
  </si>
  <si>
    <t>could reach out via contact form</t>
  </si>
  <si>
    <t>dsm-firmenech</t>
  </si>
  <si>
    <t>23-26</t>
  </si>
  <si>
    <t>Intern</t>
  </si>
  <si>
    <t>City of San Diego</t>
  </si>
  <si>
    <t>19-22</t>
  </si>
  <si>
    <t>GIS Intern</t>
  </si>
  <si>
    <t>Supply Chain Data Analytics Intern</t>
  </si>
  <si>
    <t>Neurocrine</t>
  </si>
  <si>
    <t>R6345</t>
  </si>
  <si>
    <t>R6360</t>
  </si>
  <si>
    <t>REQ-3825</t>
  </si>
  <si>
    <t>Palo Alto</t>
  </si>
  <si>
    <t>Energy Supply Student Internship</t>
  </si>
  <si>
    <t>EPRI</t>
  </si>
  <si>
    <t>Outpacing the Flames: Innovations in Wildfire Tech</t>
  </si>
  <si>
    <t>Wildfires are becoming faster and more destructive, demanding a new generation of technologies to detect, prevent, and manage risk. This session explores cutting-edge innovations in sensing, forecasting, and autonomous response that aim to outpace growing fire threats.</t>
  </si>
  <si>
    <t>11:55-12:25</t>
  </si>
  <si>
    <t>AI in Cleantech: Is Bigger Better?</t>
  </si>
  <si>
    <t>AI has hit the cleantech theme in full force in the past 2 years. While uptake in deep tech and traditional industries is still catching up, it remains to be seen what the most successful approach will be. Many companies are developing industry and problem-specific AI models, but platform approaches making fundamental research more efficient are increasingly gaining popularity.</t>
  </si>
  <si>
    <t>2:55-3:40 pm</t>
  </si>
  <si>
    <t>Unlocking Transmission Capacity</t>
  </si>
  <si>
    <t>This session will discuss unlocking capacity already connected to the grid by leveraging data, artificial intelligence, enhanced sensors, cables , and conductors. Interconnection queues are long and are a major hurdle for commercial and industrial users of energy looking to access power as quickly as possible. This session will go deeper into the innovative solutions that can unlock existing renewable energy and power production and support transmission to the areas it’s needed most.</t>
  </si>
  <si>
    <t>11:30-12 pm</t>
  </si>
  <si>
    <t>AI and Digital Innovation in Mining</t>
  </si>
  <si>
    <t>The session will focus on how AI and digital tools are disrupting mineral exploration and improving resource efficiency (water, energy). We would discuss AI-powered subsurface modeling, geospatial data, and real-time water and energy monitoring systems. There are several innovators in the space, but large mining corporates are also innovating internally. Aim is to discuss what tech is suitable for who and where we see this industry going forward (e.g. how much space is there for more AI innovators in mining exploration/ what about quantum sensors).</t>
  </si>
  <si>
    <t>2:30-3</t>
  </si>
  <si>
    <t>R-100142</t>
  </si>
  <si>
    <t>Bussiness data analyst intern</t>
  </si>
  <si>
    <t>Grid Modeling &amp; Analytics Intern</t>
  </si>
  <si>
    <t>16.5-28.25</t>
  </si>
  <si>
    <t>R2503204</t>
  </si>
  <si>
    <t>Energy &amp; Climate Planning</t>
  </si>
  <si>
    <t>Intuit</t>
  </si>
  <si>
    <t> Summer 2026: Data Science Intern, Identity &amp;amp; Analytics</t>
  </si>
  <si>
    <t>Clearway Energy</t>
  </si>
  <si>
    <t>Market Fundamentals Intern</t>
  </si>
  <si>
    <t>23-30</t>
  </si>
  <si>
    <t>DSC 202 - A00 [4143]</t>
  </si>
  <si>
    <t>Lauren Chen</t>
  </si>
  <si>
    <t>Weston Chester</t>
  </si>
  <si>
    <t>Jessica Fowler</t>
  </si>
  <si>
    <t>Sanjana Garimella</t>
  </si>
  <si>
    <t>Rezon Gautama</t>
  </si>
  <si>
    <t>DSC 202 - Data Mgt for Data Science - Gupta [WI26]</t>
  </si>
  <si>
    <t>LICHENG HU</t>
  </si>
  <si>
    <t>Tanvi Jambhale</t>
  </si>
  <si>
    <t>Eunbeen Jung</t>
  </si>
  <si>
    <t>Reva Kaneri</t>
  </si>
  <si>
    <t>Jiyong Kim</t>
  </si>
  <si>
    <t>WILSON LIAO</t>
  </si>
  <si>
    <t>Samantha Lin</t>
  </si>
  <si>
    <t>You-Yi Liu</t>
  </si>
  <si>
    <t>Ivan Luc</t>
  </si>
  <si>
    <t>Sebastian Wolff Modafferi</t>
  </si>
  <si>
    <t>Kate Muret</t>
  </si>
  <si>
    <t>Meshal Nayim</t>
  </si>
  <si>
    <t>Priyanka Nidadavolu</t>
  </si>
  <si>
    <t>SRUTHI PAPANASA</t>
  </si>
  <si>
    <t>Mitra Rezvany</t>
  </si>
  <si>
    <t>Jacob Ryan</t>
  </si>
  <si>
    <t>RAUNAK SENGUPTA</t>
  </si>
  <si>
    <t>Suditi Singh</t>
  </si>
  <si>
    <t>Shulin Song</t>
  </si>
  <si>
    <t>Jai Srivastav</t>
  </si>
  <si>
    <t>Cindy Su</t>
  </si>
  <si>
    <t>ROHAN SURANA</t>
  </si>
  <si>
    <t>Li Tang</t>
  </si>
  <si>
    <t>Natalie Tehranchi</t>
  </si>
  <si>
    <t>Sharvaani Thoguluva</t>
  </si>
  <si>
    <t>Lakshmi Vallala</t>
  </si>
  <si>
    <t>Mythili Velapakam</t>
  </si>
  <si>
    <t>Lucas Venetoulias</t>
  </si>
  <si>
    <t>Zitong Xi</t>
  </si>
  <si>
    <t>HEDE YANG</t>
  </si>
  <si>
    <t>Anirudh Yetikuri</t>
  </si>
  <si>
    <t>Junhang Yu</t>
  </si>
  <si>
    <t>Timothy Yuzhi Yu</t>
  </si>
  <si>
    <t>DSC 240 - A00 [4214]</t>
  </si>
  <si>
    <t>Zeyu Bian</t>
  </si>
  <si>
    <t>Justin Chang</t>
  </si>
  <si>
    <t>Jian Chen</t>
  </si>
  <si>
    <t>Kexin Chen</t>
  </si>
  <si>
    <t>Kris Dcosta</t>
  </si>
  <si>
    <t>Yuguo Du</t>
  </si>
  <si>
    <t>ZIJIE FENG</t>
  </si>
  <si>
    <t>Gaomi</t>
  </si>
  <si>
    <t>Kourosh Ghaffari</t>
  </si>
  <si>
    <t>Jacob Michael Hanshaw</t>
  </si>
  <si>
    <t>LILA HORWITZ</t>
  </si>
  <si>
    <t>Nanami Huang</t>
  </si>
  <si>
    <t>Nadav Issacof</t>
  </si>
  <si>
    <t>Ishan Jain</t>
  </si>
  <si>
    <t>Xuanming Jia</t>
  </si>
  <si>
    <t>Wenkai Kang</t>
  </si>
  <si>
    <t>Seongho Kim</t>
  </si>
  <si>
    <t>Krishna Kanth Kodanganti</t>
  </si>
  <si>
    <t>Saara Kriplani</t>
  </si>
  <si>
    <t>Nilasha Krishnamurthy</t>
  </si>
  <si>
    <t>Faizah Kureshi</t>
  </si>
  <si>
    <t>Paul Lai</t>
  </si>
  <si>
    <t>Inno Li</t>
  </si>
  <si>
    <t>Kevin Lin</t>
  </si>
  <si>
    <t>Zach Liu</t>
  </si>
  <si>
    <t>Nishchay Mahor</t>
  </si>
  <si>
    <t>Vaishak Menon</t>
  </si>
  <si>
    <t>Kylie Morgan</t>
  </si>
  <si>
    <t>Zhaner Mou</t>
  </si>
  <si>
    <t>DSC 240 - Machine Learning - Wang [WI26]</t>
  </si>
  <si>
    <t>Rishika Mundada</t>
  </si>
  <si>
    <t>Chinmay Nadgir</t>
  </si>
  <si>
    <t>Hannah Pham</t>
  </si>
  <si>
    <t>Joel Polizzi</t>
  </si>
  <si>
    <t>Haoxiang Qiu</t>
  </si>
  <si>
    <t>Suraj Ranganath</t>
  </si>
  <si>
    <t>Jas Sandhu</t>
  </si>
  <si>
    <t>Nate Sheibley</t>
  </si>
  <si>
    <t>Tongle Shen</t>
  </si>
  <si>
    <t>Lipeng Sheng (He/Him)</t>
  </si>
  <si>
    <t>Tiffany Soerianto</t>
  </si>
  <si>
    <t>Pradyumna Sripada</t>
  </si>
  <si>
    <t>Mario Tapia-Pacheco</t>
  </si>
  <si>
    <t>Gokul Thirumurugan</t>
  </si>
  <si>
    <t>Vybhav Upadhyayula</t>
  </si>
  <si>
    <t>HAO WANG</t>
  </si>
  <si>
    <t>Jiashuo Wang</t>
  </si>
  <si>
    <t>Jui-Yen Wang</t>
  </si>
  <si>
    <t>Shu Wang</t>
  </si>
  <si>
    <t>Xurui Wang</t>
  </si>
  <si>
    <t>Yu-Xiang Wang</t>
  </si>
  <si>
    <t>Katelyn Wong</t>
  </si>
  <si>
    <t>Rebecca Wu</t>
  </si>
  <si>
    <t>Valerie Yu</t>
  </si>
  <si>
    <t>Kefan Zhang</t>
  </si>
  <si>
    <t>Tia Zhang</t>
  </si>
  <si>
    <t>Jiani Zhong</t>
  </si>
  <si>
    <t xml:space="preserve">Advanced Energy Intern </t>
  </si>
  <si>
    <t>19-28</t>
  </si>
  <si>
    <t>2025-24434</t>
  </si>
  <si>
    <t>Viasat Government</t>
  </si>
  <si>
    <t>Carlsbad</t>
  </si>
  <si>
    <t>20.9-56</t>
  </si>
  <si>
    <t>2026-5667</t>
  </si>
  <si>
    <t>Name</t>
  </si>
  <si>
    <t>Booth</t>
  </si>
  <si>
    <t>Advanced Test Equipment Rentals</t>
  </si>
  <si>
    <t>Booth #3048</t>
  </si>
  <si>
    <t>Contractors Edge</t>
  </si>
  <si>
    <t>Booth #2950</t>
  </si>
  <si>
    <t>Cyth Systems</t>
  </si>
  <si>
    <t>Booth #3752</t>
  </si>
  <si>
    <t>Hitachi Energy</t>
  </si>
  <si>
    <t>Booth #2118</t>
  </si>
  <si>
    <t>K2 Systems</t>
  </si>
  <si>
    <t>Booth #4144</t>
  </si>
  <si>
    <t>Keysight Technologies</t>
  </si>
  <si>
    <t>Booth #3540</t>
  </si>
  <si>
    <t>Motorola Energy</t>
  </si>
  <si>
    <t>Booth #2923</t>
  </si>
  <si>
    <t>NeoVolta</t>
  </si>
  <si>
    <t>Booth #3504</t>
  </si>
  <si>
    <t>Qualcharge</t>
  </si>
  <si>
    <t>Booth #3425</t>
  </si>
  <si>
    <t>Renewable Energy Solutions</t>
  </si>
  <si>
    <t>Roof Tech Inc.</t>
  </si>
  <si>
    <t>Booth #4240</t>
  </si>
  <si>
    <t>Summit Energy Structures Inc.</t>
  </si>
  <si>
    <t>Booth #2021</t>
  </si>
  <si>
    <t>UNIGRID Battery</t>
  </si>
  <si>
    <t>Booth #3751</t>
  </si>
  <si>
    <t>WattChop</t>
  </si>
  <si>
    <t>Booth #4606</t>
  </si>
  <si>
    <t>Xendee</t>
  </si>
  <si>
    <t>Booth #3442</t>
  </si>
  <si>
    <t xml:space="preserve">  </t>
  </si>
  <si>
    <t>Data intern</t>
  </si>
  <si>
    <t>Palomar</t>
  </si>
  <si>
    <t>La Jolla</t>
  </si>
  <si>
    <t>Graduate Intern, Science and Analytics</t>
  </si>
  <si>
    <t>Cotality</t>
  </si>
  <si>
    <t>REQ18274</t>
  </si>
  <si>
    <t>2026-5778</t>
  </si>
  <si>
    <t>Business Systems Analyst Intern</t>
  </si>
  <si>
    <t>Viasat</t>
  </si>
  <si>
    <t>$20.91 - $56.97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</si>
</sst>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sz val="12"/>
      <color rgb="FF9C0006"/>
      <name val="Calibri"/>
      <family val="2"/>
      <scheme val="minor"/>
    </font>
    <font>
      <sz val="12"/>
      <color rgb="FF9C5700"/>
      <name val="Calibri"/>
      <family val="2"/>
      <scheme val="minor"/>
    </font>
    <font>
      <sz val="12"/>
      <color rgb="FF000000"/>
      <name val="Calibri"/>
      <family val="2"/>
      <scheme val="minor"/>
    </font>
    <font>
      <sz val="12"/>
      <color rgb="FF006100"/>
      <name val="Calibri"/>
      <family val="2"/>
      <scheme val="minor"/>
    </font>
    <font>
      <sz val="36"/>
      <color rgb="FF24BCBF"/>
      <name val="Arial"/>
      <family val="2"/>
    </font>
    <font>
      <sz val="14"/>
      <color rgb="FF000000"/>
      <name val="Arial"/>
      <family val="2"/>
    </font>
    <font>
      <u/>
      <sz val="12"/>
      <color theme="10"/>
      <name val="Calibri"/>
      <family val="2"/>
      <scheme val="minor"/>
    </font>
    <font>
      <b/>
      <sz val="12"/>
      <color theme="1"/>
      <name val="Calibri"/>
      <family val="2"/>
      <scheme val="minor"/>
    </font>
    <font>
      <sz val="16"/>
      <color rgb="FF000000"/>
      <name val="Helvetica Neue"/>
      <family val="2"/>
    </font>
    <font>
      <b/>
      <sz val="16"/>
      <color rgb="FF000000"/>
      <name val="Helvetica Neue"/>
      <family val="2"/>
    </font>
    <font>
      <sz val="24"/>
      <color rgb="FF1D1F1E"/>
      <name val="Arial"/>
      <family val="2"/>
    </font>
    <font>
      <sz val="14"/>
      <color rgb="FF1D1F1E"/>
      <name val="Arial"/>
      <family val="2"/>
    </font>
    <font>
      <sz val="14"/>
      <color rgb="FF000000"/>
      <name val="Helvetica Neue"/>
      <family val="2"/>
    </font>
    <font>
      <sz val="13"/>
      <color rgb="FF686868"/>
      <name val="Source Sans Pro"/>
    </font>
    <font>
      <sz val="16"/>
      <color rgb="FF333333"/>
      <name val="Open Sans"/>
    </font>
    <font>
      <sz val="16"/>
      <color rgb="FF333333"/>
      <name val="Open Sans"/>
    </font>
    <font>
      <b/>
      <sz val="24"/>
      <color rgb="FFFFD700"/>
      <name val="Font Awesome 6 Free"/>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rgb="FFC6EFCE"/>
      </patternFill>
    </fill>
  </fills>
  <borders count="1">
    <border>
      <left/>
      <right/>
      <top/>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4" fillId="4" borderId="0" applyNumberFormat="0" applyBorder="0" applyAlignment="0" applyProtection="0"/>
    <xf numFmtId="0" fontId="7" fillId="0" borderId="0" applyNumberFormat="0" applyFill="0" applyBorder="0" applyAlignment="0" applyProtection="0"/>
  </cellStyleXfs>
  <cellXfs count="26">
    <xf numFmtId="0" fontId="0" fillId="0" borderId="0" xfId="0"/>
    <xf numFmtId="14" fontId="0" fillId="0" borderId="0" xfId="0" applyNumberFormat="1"/>
    <xf numFmtId="14" fontId="3" fillId="0" borderId="0" xfId="0" applyNumberFormat="1" applyFont="1"/>
    <xf numFmtId="0" fontId="1" fillId="2" borderId="0" xfId="1"/>
    <xf numFmtId="14" fontId="1" fillId="2" borderId="0" xfId="1" applyNumberFormat="1"/>
    <xf numFmtId="0" fontId="1" fillId="2" borderId="0" xfId="1" applyNumberFormat="1"/>
    <xf numFmtId="0" fontId="2" fillId="3" borderId="0" xfId="2"/>
    <xf numFmtId="14" fontId="2" fillId="3" borderId="0" xfId="2" applyNumberFormat="1"/>
    <xf numFmtId="0" fontId="2" fillId="3" borderId="0" xfId="2" applyNumberFormat="1"/>
    <xf numFmtId="0" fontId="4" fillId="4" borderId="0" xfId="3"/>
    <xf numFmtId="0" fontId="5" fillId="0" borderId="0" xfId="0" applyFont="1"/>
    <xf numFmtId="0" fontId="6" fillId="0" borderId="0" xfId="0" applyFont="1"/>
    <xf numFmtId="0" fontId="7" fillId="0" borderId="0" xfId="4"/>
    <xf numFmtId="0" fontId="10" fillId="0" borderId="0" xfId="0" applyFont="1"/>
    <xf numFmtId="0" fontId="9" fillId="0" borderId="0" xfId="0" applyFont="1"/>
    <xf numFmtId="16" fontId="0" fillId="0" borderId="0" xfId="0" applyNumberFormat="1"/>
    <xf numFmtId="0" fontId="11" fillId="0" borderId="0" xfId="0" applyFont="1"/>
    <xf numFmtId="0" fontId="12" fillId="0" borderId="0" xfId="0" applyFont="1"/>
    <xf numFmtId="0" fontId="12" fillId="0" borderId="0" xfId="0" applyFont="1" applyAlignment="1">
      <alignment wrapText="1"/>
    </xf>
    <xf numFmtId="0" fontId="8" fillId="0" borderId="0" xfId="0" applyFont="1"/>
    <xf numFmtId="0" fontId="13" fillId="0" borderId="0" xfId="0" applyFont="1"/>
    <xf numFmtId="14" fontId="4" fillId="4" borderId="0" xfId="3" applyNumberFormat="1"/>
    <xf numFmtId="0" fontId="14" fillId="0" borderId="0" xfId="0" applyFont="1"/>
    <xf numFmtId="0" fontId="15" fillId="0" borderId="0" xfId="0" applyFont="1"/>
    <xf numFmtId="0" fontId="17" fillId="0" borderId="0" xfId="0" applyFont="1"/>
    <xf numFmtId="0" fontId="16" fillId="0" borderId="0" xfId="0" applyFont="1"/>
  </cellXfs>
  <cellStyles count="5">
    <cellStyle name="Bad" xfId="1" builtinId="27"/>
    <cellStyle name="Good" xfId="3" builtinId="26"/>
    <cellStyle name="Hyperlink" xfId="4" builtinId="8"/>
    <cellStyle name="Neutral" xfId="2" builtinId="2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Featured Exhibitor</v>
  </rv>
  <rv s="0">
    <v>1</v>
    <v>5</v>
    <v>Manufacturing Pavilion</v>
  </rv>
  <rv s="0">
    <v>2</v>
    <v>5</v>
    <v>EV Charging Infrastructure Pavilion</v>
  </rv>
  <rv s="0">
    <v>3</v>
    <v>5</v>
    <v>Startup Pavilion</v>
  </rv>
  <rv s="0">
    <v>4</v>
    <v>5</v>
    <v>Energy Storage North America Exhibitor</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s23.a2zinc.net/clients/diversified/isnaesna2026/Public/eventmap.aspx?EventId=123&amp;MapItBoothID=260086&amp;MapItBooth=2118&amp;MapID=212" TargetMode="External"/><Relationship Id="rId13" Type="http://schemas.openxmlformats.org/officeDocument/2006/relationships/hyperlink" Target="https://exhibitors.iesna.com/co/motorola-energy" TargetMode="External"/><Relationship Id="rId18" Type="http://schemas.openxmlformats.org/officeDocument/2006/relationships/hyperlink" Target="https://s23.a2zinc.net/clients/diversified/isnaesna2026/Public/eventmap.aspx?EventId=123&amp;MapItBoothID=268383&amp;MapItBooth=3425&amp;MapID=212" TargetMode="External"/><Relationship Id="rId26" Type="http://schemas.openxmlformats.org/officeDocument/2006/relationships/hyperlink" Target="https://s23.a2zinc.net/clients/diversified/isnaesna2026/Public/eventmap.aspx?EventId=123&amp;MapItBoothID=236041&amp;MapItBooth=3751&amp;MapID=212" TargetMode="External"/><Relationship Id="rId3" Type="http://schemas.openxmlformats.org/officeDocument/2006/relationships/hyperlink" Target="https://exhibitors.iesna.com/co/contractors-edge" TargetMode="External"/><Relationship Id="rId21" Type="http://schemas.openxmlformats.org/officeDocument/2006/relationships/hyperlink" Target="https://exhibitors.iesna.com/co/roof-tech-inc" TargetMode="External"/><Relationship Id="rId7" Type="http://schemas.openxmlformats.org/officeDocument/2006/relationships/hyperlink" Target="https://exhibitors.iesna.com/co/hitachi-energy" TargetMode="External"/><Relationship Id="rId12" Type="http://schemas.openxmlformats.org/officeDocument/2006/relationships/hyperlink" Target="https://s23.a2zinc.net/clients/diversified/isnaesna2026/Public/eventmap.aspx?EventId=123&amp;MapItBoothID=235394&amp;MapItBooth=3540&amp;MapID=212" TargetMode="External"/><Relationship Id="rId17" Type="http://schemas.openxmlformats.org/officeDocument/2006/relationships/hyperlink" Target="https://exhibitors.iesna.com/co/qualcharge" TargetMode="External"/><Relationship Id="rId25" Type="http://schemas.openxmlformats.org/officeDocument/2006/relationships/hyperlink" Target="https://exhibitors.iesna.com/co/unigrid-battery" TargetMode="External"/><Relationship Id="rId2" Type="http://schemas.openxmlformats.org/officeDocument/2006/relationships/hyperlink" Target="https://s23.a2zinc.net/clients/diversified/isnaesna2026/Public/eventmap.aspx?EventId=123&amp;MapItBoothID=236165&amp;MapItBooth=3048&amp;MapID=212" TargetMode="External"/><Relationship Id="rId16" Type="http://schemas.openxmlformats.org/officeDocument/2006/relationships/hyperlink" Target="https://s23.a2zinc.net/clients/diversified/isnaesna2026/Public/eventmap.aspx?EventId=123&amp;MapItBoothID=265583&amp;MapItBooth=3504&amp;MapID=212" TargetMode="External"/><Relationship Id="rId20" Type="http://schemas.openxmlformats.org/officeDocument/2006/relationships/hyperlink" Target="https://s23.a2zinc.net/clients/diversified/isnaesna2026/Public/eventmap.aspx?EventId=123&amp;MapItBoothID=268275&amp;MapItBooth=3425&amp;MapID=212" TargetMode="External"/><Relationship Id="rId29" Type="http://schemas.openxmlformats.org/officeDocument/2006/relationships/hyperlink" Target="https://exhibitors.iesna.com/co/xendee" TargetMode="External"/><Relationship Id="rId1" Type="http://schemas.openxmlformats.org/officeDocument/2006/relationships/hyperlink" Target="https://exhibitors.iesna.com/co/advanced-test-equipment-rentals" TargetMode="External"/><Relationship Id="rId6" Type="http://schemas.openxmlformats.org/officeDocument/2006/relationships/hyperlink" Target="https://s23.a2zinc.net/clients/diversified/isnaesna2026/Public/eventmap.aspx?EventId=123&amp;MapItBoothID=261992&amp;MapItBooth=3752&amp;MapID=212" TargetMode="External"/><Relationship Id="rId11" Type="http://schemas.openxmlformats.org/officeDocument/2006/relationships/hyperlink" Target="https://exhibitors.iesna.com/co/keysight-technologies" TargetMode="External"/><Relationship Id="rId24" Type="http://schemas.openxmlformats.org/officeDocument/2006/relationships/hyperlink" Target="https://s23.a2zinc.net/clients/diversified/isnaesna2026/Public/eventmap.aspx?EventId=123&amp;MapItBoothID=260111&amp;MapItBooth=2021&amp;MapID=212" TargetMode="External"/><Relationship Id="rId5" Type="http://schemas.openxmlformats.org/officeDocument/2006/relationships/hyperlink" Target="https://exhibitors.iesna.com/co/cyth-systems" TargetMode="External"/><Relationship Id="rId15" Type="http://schemas.openxmlformats.org/officeDocument/2006/relationships/hyperlink" Target="https://exhibitors.iesna.com/co/neovolta" TargetMode="External"/><Relationship Id="rId23" Type="http://schemas.openxmlformats.org/officeDocument/2006/relationships/hyperlink" Target="https://exhibitors.iesna.com/co/summit-energy-structures-inc" TargetMode="External"/><Relationship Id="rId28" Type="http://schemas.openxmlformats.org/officeDocument/2006/relationships/hyperlink" Target="https://s23.a2zinc.net/clients/diversified/isnaesna2026/Public/eventmap.aspx?EventId=123&amp;MapItBoothID=267912&amp;MapItBooth=4606&amp;MapID=212" TargetMode="External"/><Relationship Id="rId10" Type="http://schemas.openxmlformats.org/officeDocument/2006/relationships/hyperlink" Target="https://s23.a2zinc.net/clients/diversified/isnaesna2026/Public/eventmap.aspx?EventId=123&amp;MapItBoothID=261712&amp;MapItBooth=4144&amp;MapID=212" TargetMode="External"/><Relationship Id="rId19" Type="http://schemas.openxmlformats.org/officeDocument/2006/relationships/hyperlink" Target="https://exhibitors.iesna.com/co/renewable-energy-solutions" TargetMode="External"/><Relationship Id="rId4" Type="http://schemas.openxmlformats.org/officeDocument/2006/relationships/hyperlink" Target="https://s23.a2zinc.net/clients/diversified/isnaesna2026/Public/eventmap.aspx?EventId=123&amp;MapItBoothID=236161&amp;MapItBooth=2950&amp;MapID=212" TargetMode="External"/><Relationship Id="rId9" Type="http://schemas.openxmlformats.org/officeDocument/2006/relationships/hyperlink" Target="https://exhibitors.iesna.com/co/k2-systems" TargetMode="External"/><Relationship Id="rId14" Type="http://schemas.openxmlformats.org/officeDocument/2006/relationships/hyperlink" Target="https://s23.a2zinc.net/clients/diversified/isnaesna2026/Public/eventmap.aspx?EventId=123&amp;MapItBoothID=238046&amp;MapItBooth=2923&amp;MapID=212" TargetMode="External"/><Relationship Id="rId22" Type="http://schemas.openxmlformats.org/officeDocument/2006/relationships/hyperlink" Target="https://s23.a2zinc.net/clients/diversified/isnaesna2026/Public/eventmap.aspx?EventId=123&amp;MapItBoothID=238634&amp;MapItBooth=4240&amp;MapID=212" TargetMode="External"/><Relationship Id="rId27" Type="http://schemas.openxmlformats.org/officeDocument/2006/relationships/hyperlink" Target="https://exhibitors.iesna.com/co/wattchop" TargetMode="External"/><Relationship Id="rId30" Type="http://schemas.openxmlformats.org/officeDocument/2006/relationships/hyperlink" Target="https://s23.a2zinc.net/clients/diversified/isnaesna2026/Public/eventmap.aspx?EventId=123&amp;MapItBoothID=235048&amp;MapItBooth=3442&amp;MapID=212"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geandr.com/" TargetMode="External"/><Relationship Id="rId21" Type="http://schemas.openxmlformats.org/officeDocument/2006/relationships/hyperlink" Target="https://enersion.com/" TargetMode="External"/><Relationship Id="rId42" Type="http://schemas.openxmlformats.org/officeDocument/2006/relationships/hyperlink" Target="https://pairedpower.com/" TargetMode="External"/><Relationship Id="rId47" Type="http://schemas.openxmlformats.org/officeDocument/2006/relationships/hyperlink" Target="http://premieralliance.com/" TargetMode="External"/><Relationship Id="rId63" Type="http://schemas.openxmlformats.org/officeDocument/2006/relationships/hyperlink" Target="https://www.coffman.com/" TargetMode="External"/><Relationship Id="rId68" Type="http://schemas.openxmlformats.org/officeDocument/2006/relationships/hyperlink" Target="http://lw.com/" TargetMode="External"/><Relationship Id="rId84" Type="http://schemas.openxmlformats.org/officeDocument/2006/relationships/hyperlink" Target="https://cleantechsandiego.org/member-directory/" TargetMode="External"/><Relationship Id="rId89" Type="http://schemas.openxmlformats.org/officeDocument/2006/relationships/hyperlink" Target="http://www.hgfenton.com/" TargetMode="External"/><Relationship Id="rId16" Type="http://schemas.openxmlformats.org/officeDocument/2006/relationships/hyperlink" Target="https://thecleanenergyalliance.org/" TargetMode="External"/><Relationship Id="rId11" Type="http://schemas.openxmlformats.org/officeDocument/2006/relationships/hyperlink" Target="http://www.calpinesolutions.com/" TargetMode="External"/><Relationship Id="rId32" Type="http://schemas.openxmlformats.org/officeDocument/2006/relationships/hyperlink" Target="http://ikesmartcity.com/" TargetMode="External"/><Relationship Id="rId37" Type="http://schemas.openxmlformats.org/officeDocument/2006/relationships/hyperlink" Target="https://www.getneocharge.com/" TargetMode="External"/><Relationship Id="rId53" Type="http://schemas.openxmlformats.org/officeDocument/2006/relationships/hyperlink" Target="https://www.terra-gen.com/" TargetMode="External"/><Relationship Id="rId58" Type="http://schemas.openxmlformats.org/officeDocument/2006/relationships/hyperlink" Target="https://wattsonwater.com/" TargetMode="External"/><Relationship Id="rId74" Type="http://schemas.openxmlformats.org/officeDocument/2006/relationships/hyperlink" Target="https://www.weoutfit.co/" TargetMode="External"/><Relationship Id="rId79" Type="http://schemas.openxmlformats.org/officeDocument/2006/relationships/hyperlink" Target="https://www.trellis-strategy.com/" TargetMode="External"/><Relationship Id="rId5" Type="http://schemas.openxmlformats.org/officeDocument/2006/relationships/hyperlink" Target="https://www.americanlithiumenergy.com/" TargetMode="External"/><Relationship Id="rId90" Type="http://schemas.openxmlformats.org/officeDocument/2006/relationships/hyperlink" Target="https://secgroupco.com/" TargetMode="External"/><Relationship Id="rId14" Type="http://schemas.openxmlformats.org/officeDocument/2006/relationships/hyperlink" Target="https://changeaerial.com/" TargetMode="External"/><Relationship Id="rId22" Type="http://schemas.openxmlformats.org/officeDocument/2006/relationships/hyperlink" Target="https://www.enersmartstorage.com/" TargetMode="External"/><Relationship Id="rId27" Type="http://schemas.openxmlformats.org/officeDocument/2006/relationships/hyperlink" Target="https://aldtechnicalsolutions.com/" TargetMode="External"/><Relationship Id="rId30" Type="http://schemas.openxmlformats.org/officeDocument/2006/relationships/hyperlink" Target="https://hnointernational.com/" TargetMode="External"/><Relationship Id="rId35" Type="http://schemas.openxmlformats.org/officeDocument/2006/relationships/hyperlink" Target="https://www.looq.ai/" TargetMode="External"/><Relationship Id="rId43" Type="http://schemas.openxmlformats.org/officeDocument/2006/relationships/hyperlink" Target="https://propervoltage.com/" TargetMode="External"/><Relationship Id="rId48" Type="http://schemas.openxmlformats.org/officeDocument/2006/relationships/hyperlink" Target="https://www.scalemicrogrids.com/" TargetMode="External"/><Relationship Id="rId56" Type="http://schemas.openxmlformats.org/officeDocument/2006/relationships/hyperlink" Target="https://www.unigridbattery.com/" TargetMode="External"/><Relationship Id="rId64" Type="http://schemas.openxmlformats.org/officeDocument/2006/relationships/hyperlink" Target="https://www.cohnreznick.com/" TargetMode="External"/><Relationship Id="rId69" Type="http://schemas.openxmlformats.org/officeDocument/2006/relationships/hyperlink" Target="http://www.ljmanzconsulting.com/" TargetMode="External"/><Relationship Id="rId77" Type="http://schemas.openxmlformats.org/officeDocument/2006/relationships/hyperlink" Target="http://www.procopio.com/" TargetMode="External"/><Relationship Id="rId8" Type="http://schemas.openxmlformats.org/officeDocument/2006/relationships/hyperlink" Target="https://arevonenergy.com/" TargetMode="External"/><Relationship Id="rId51" Type="http://schemas.openxmlformats.org/officeDocument/2006/relationships/hyperlink" Target="https://www.south8technologies.com/" TargetMode="External"/><Relationship Id="rId72" Type="http://schemas.openxmlformats.org/officeDocument/2006/relationships/hyperlink" Target="https://www.mofo.com/" TargetMode="External"/><Relationship Id="rId80" Type="http://schemas.openxmlformats.org/officeDocument/2006/relationships/hyperlink" Target="https://voitco.com/" TargetMode="External"/><Relationship Id="rId85" Type="http://schemas.openxmlformats.org/officeDocument/2006/relationships/hyperlink" Target="https://luminia.io/" TargetMode="External"/><Relationship Id="rId3" Type="http://schemas.openxmlformats.org/officeDocument/2006/relationships/hyperlink" Target="https://www.aggreko.com/en-us" TargetMode="External"/><Relationship Id="rId12" Type="http://schemas.openxmlformats.org/officeDocument/2006/relationships/hyperlink" Target="https://www.carbon-blade.com/" TargetMode="External"/><Relationship Id="rId17" Type="http://schemas.openxmlformats.org/officeDocument/2006/relationships/hyperlink" Target="https://www.collectivesun.com/" TargetMode="External"/><Relationship Id="rId25" Type="http://schemas.openxmlformats.org/officeDocument/2006/relationships/hyperlink" Target="https://fullmarkenergy.com/" TargetMode="External"/><Relationship Id="rId33" Type="http://schemas.openxmlformats.org/officeDocument/2006/relationships/hyperlink" Target="https://innovasionlabspinc.com/" TargetMode="External"/><Relationship Id="rId38" Type="http://schemas.openxmlformats.org/officeDocument/2006/relationships/hyperlink" Target="http://nuvve.com/" TargetMode="External"/><Relationship Id="rId46" Type="http://schemas.openxmlformats.org/officeDocument/2006/relationships/hyperlink" Target="https://www.rocketruck.com/" TargetMode="External"/><Relationship Id="rId59" Type="http://schemas.openxmlformats.org/officeDocument/2006/relationships/hyperlink" Target="https://www.wellhead.com/" TargetMode="External"/><Relationship Id="rId67" Type="http://schemas.openxmlformats.org/officeDocument/2006/relationships/hyperlink" Target="https://www.goodwinlaw.com/" TargetMode="External"/><Relationship Id="rId20" Type="http://schemas.openxmlformats.org/officeDocument/2006/relationships/hyperlink" Target="https://emissionfreegenerators.com/" TargetMode="External"/><Relationship Id="rId41" Type="http://schemas.openxmlformats.org/officeDocument/2006/relationships/hyperlink" Target="http://opterraenergy.com/" TargetMode="External"/><Relationship Id="rId54" Type="http://schemas.openxmlformats.org/officeDocument/2006/relationships/hyperlink" Target="https://tourengine.com/" TargetMode="External"/><Relationship Id="rId62" Type="http://schemas.openxmlformats.org/officeDocument/2006/relationships/hyperlink" Target="https://www.mossadams.com/" TargetMode="External"/><Relationship Id="rId70" Type="http://schemas.openxmlformats.org/officeDocument/2006/relationships/hyperlink" Target="https://www.mintz.com/" TargetMode="External"/><Relationship Id="rId75" Type="http://schemas.openxmlformats.org/officeDocument/2006/relationships/hyperlink" Target="https://www.perkinscoie.com/en/index.html" TargetMode="External"/><Relationship Id="rId83" Type="http://schemas.openxmlformats.org/officeDocument/2006/relationships/hyperlink" Target="https://cleantechsandiego.org/member-directory/" TargetMode="External"/><Relationship Id="rId88" Type="http://schemas.openxmlformats.org/officeDocument/2006/relationships/hyperlink" Target="https://nufund.com/" TargetMode="External"/><Relationship Id="rId91" Type="http://schemas.openxmlformats.org/officeDocument/2006/relationships/hyperlink" Target="https://www.cohnreznick.com/people?region=california" TargetMode="External"/><Relationship Id="rId1" Type="http://schemas.openxmlformats.org/officeDocument/2006/relationships/hyperlink" Target="https://4thstateenergies.com/" TargetMode="External"/><Relationship Id="rId6" Type="http://schemas.openxmlformats.org/officeDocument/2006/relationships/hyperlink" Target="https://www.aquaporo.com/" TargetMode="External"/><Relationship Id="rId15" Type="http://schemas.openxmlformats.org/officeDocument/2006/relationships/hyperlink" Target="https://chargenetstations.com/" TargetMode="External"/><Relationship Id="rId23" Type="http://schemas.openxmlformats.org/officeDocument/2006/relationships/hyperlink" Target="https://eversun.co/" TargetMode="External"/><Relationship Id="rId28" Type="http://schemas.openxmlformats.org/officeDocument/2006/relationships/hyperlink" Target="https://www.harvest-thermal.com/" TargetMode="External"/><Relationship Id="rId36" Type="http://schemas.openxmlformats.org/officeDocument/2006/relationships/hyperlink" Target="https://www.lspower.com/" TargetMode="External"/><Relationship Id="rId49" Type="http://schemas.openxmlformats.org/officeDocument/2006/relationships/hyperlink" Target="http://www.solarkal.com/" TargetMode="External"/><Relationship Id="rId57" Type="http://schemas.openxmlformats.org/officeDocument/2006/relationships/hyperlink" Target="https://www.veckta.com/" TargetMode="External"/><Relationship Id="rId10" Type="http://schemas.openxmlformats.org/officeDocument/2006/relationships/hyperlink" Target="https://www.benchmarklabs.com/" TargetMode="External"/><Relationship Id="rId31" Type="http://schemas.openxmlformats.org/officeDocument/2006/relationships/hyperlink" Target="http://www.igrenenergi.com/" TargetMode="External"/><Relationship Id="rId44" Type="http://schemas.openxmlformats.org/officeDocument/2006/relationships/hyperlink" Target="https://www.redoxblox.com/" TargetMode="External"/><Relationship Id="rId52" Type="http://schemas.openxmlformats.org/officeDocument/2006/relationships/hyperlink" Target="https://www.sunrun.com/" TargetMode="External"/><Relationship Id="rId60" Type="http://schemas.openxmlformats.org/officeDocument/2006/relationships/hyperlink" Target="https://znrginnovations.com/" TargetMode="External"/><Relationship Id="rId65" Type="http://schemas.openxmlformats.org/officeDocument/2006/relationships/hyperlink" Target="https://evolutionaffairs.com/" TargetMode="External"/><Relationship Id="rId73" Type="http://schemas.openxmlformats.org/officeDocument/2006/relationships/hyperlink" Target="https://www.newfront.com/" TargetMode="External"/><Relationship Id="rId78" Type="http://schemas.openxmlformats.org/officeDocument/2006/relationships/hyperlink" Target="http://www.stoel.com/index.aspx" TargetMode="External"/><Relationship Id="rId81" Type="http://schemas.openxmlformats.org/officeDocument/2006/relationships/hyperlink" Target="https://wrightoncomm.com/expertise/energy-cleantech-public-relations/" TargetMode="External"/><Relationship Id="rId86" Type="http://schemas.openxmlformats.org/officeDocument/2006/relationships/hyperlink" Target="https://www.marathoncapital.com/" TargetMode="External"/><Relationship Id="rId4" Type="http://schemas.openxmlformats.org/officeDocument/2006/relationships/hyperlink" Target="https://alderbuckenergy.com/" TargetMode="External"/><Relationship Id="rId9" Type="http://schemas.openxmlformats.org/officeDocument/2006/relationships/hyperlink" Target="https://www.bakerhomeenergy.com/" TargetMode="External"/><Relationship Id="rId13" Type="http://schemas.openxmlformats.org/officeDocument/2006/relationships/hyperlink" Target="https://www.cancoverit.com/" TargetMode="External"/><Relationship Id="rId18" Type="http://schemas.openxmlformats.org/officeDocument/2006/relationships/hyperlink" Target="https://www.cthermal.com/" TargetMode="External"/><Relationship Id="rId39" Type="http://schemas.openxmlformats.org/officeDocument/2006/relationships/hyperlink" Target="http://www.oberonfuels.com/" TargetMode="External"/><Relationship Id="rId34" Type="http://schemas.openxmlformats.org/officeDocument/2006/relationships/hyperlink" Target="https://www.ivy.energy/" TargetMode="External"/><Relationship Id="rId50" Type="http://schemas.openxmlformats.org/officeDocument/2006/relationships/hyperlink" Target="http://sonocharge.com/" TargetMode="External"/><Relationship Id="rId55" Type="http://schemas.openxmlformats.org/officeDocument/2006/relationships/hyperlink" Target="https://tyfast.energy/" TargetMode="External"/><Relationship Id="rId76" Type="http://schemas.openxmlformats.org/officeDocument/2006/relationships/hyperlink" Target="https://beta.policy-pulse.ai/" TargetMode="External"/><Relationship Id="rId7" Type="http://schemas.openxmlformats.org/officeDocument/2006/relationships/hyperlink" Target="http://www.arcadis.com/" TargetMode="External"/><Relationship Id="rId71" Type="http://schemas.openxmlformats.org/officeDocument/2006/relationships/hyperlink" Target="https://cleantechsandiego.org/member-directory/" TargetMode="External"/><Relationship Id="rId2" Type="http://schemas.openxmlformats.org/officeDocument/2006/relationships/hyperlink" Target="https://www.aes.com/" TargetMode="External"/><Relationship Id="rId29" Type="http://schemas.openxmlformats.org/officeDocument/2006/relationships/hyperlink" Target="https://www.heliovolta.com/" TargetMode="External"/><Relationship Id="rId24" Type="http://schemas.openxmlformats.org/officeDocument/2006/relationships/hyperlink" Target="https://www.exposttechnology.com/home" TargetMode="External"/><Relationship Id="rId40" Type="http://schemas.openxmlformats.org/officeDocument/2006/relationships/hyperlink" Target="https://www.oceanmotion.tech/" TargetMode="External"/><Relationship Id="rId45" Type="http://schemas.openxmlformats.org/officeDocument/2006/relationships/hyperlink" Target="https://www.rejouleenergy.com/" TargetMode="External"/><Relationship Id="rId66" Type="http://schemas.openxmlformats.org/officeDocument/2006/relationships/hyperlink" Target="https://www.foley.com/en" TargetMode="External"/><Relationship Id="rId87" Type="http://schemas.openxmlformats.org/officeDocument/2006/relationships/hyperlink" Target="https://www.nadb.org/" TargetMode="External"/><Relationship Id="rId61" Type="http://schemas.openxmlformats.org/officeDocument/2006/relationships/hyperlink" Target="https://33n.energy/" TargetMode="External"/><Relationship Id="rId82" Type="http://schemas.openxmlformats.org/officeDocument/2006/relationships/hyperlink" Target="https://www.clearcreekinv.com/" TargetMode="External"/><Relationship Id="rId19" Type="http://schemas.openxmlformats.org/officeDocument/2006/relationships/hyperlink" Target="https://cordiaenergy.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canvas.ucsd.edu/courses/71826/users/126724" TargetMode="External"/><Relationship Id="rId18" Type="http://schemas.openxmlformats.org/officeDocument/2006/relationships/hyperlink" Target="https://canvas.ucsd.edu/courses/71826/users/257900" TargetMode="External"/><Relationship Id="rId26" Type="http://schemas.openxmlformats.org/officeDocument/2006/relationships/hyperlink" Target="https://canvas.ucsd.edu/courses/71826/users/258147" TargetMode="External"/><Relationship Id="rId3" Type="http://schemas.openxmlformats.org/officeDocument/2006/relationships/hyperlink" Target="https://canvas.ucsd.edu/courses/71826/users/257909" TargetMode="External"/><Relationship Id="rId21" Type="http://schemas.openxmlformats.org/officeDocument/2006/relationships/hyperlink" Target="https://canvas.ucsd.edu/courses/71826/users/244605" TargetMode="External"/><Relationship Id="rId34" Type="http://schemas.openxmlformats.org/officeDocument/2006/relationships/hyperlink" Target="https://canvas.ucsd.edu/courses/71826/users/258000" TargetMode="External"/><Relationship Id="rId7" Type="http://schemas.openxmlformats.org/officeDocument/2006/relationships/hyperlink" Target="https://canvas.ucsd.edu/courses/71826/users/24481" TargetMode="External"/><Relationship Id="rId12" Type="http://schemas.openxmlformats.org/officeDocument/2006/relationships/hyperlink" Target="https://canvas.ucsd.edu/courses/71826/users/216866" TargetMode="External"/><Relationship Id="rId17" Type="http://schemas.openxmlformats.org/officeDocument/2006/relationships/hyperlink" Target="https://canvas.ucsd.edu/courses/71826/users/97561" TargetMode="External"/><Relationship Id="rId25" Type="http://schemas.openxmlformats.org/officeDocument/2006/relationships/hyperlink" Target="https://canvas.ucsd.edu/courses/71826/users/83122" TargetMode="External"/><Relationship Id="rId33" Type="http://schemas.openxmlformats.org/officeDocument/2006/relationships/hyperlink" Target="https://canvas.ucsd.edu/courses/71826/users/258338" TargetMode="External"/><Relationship Id="rId2" Type="http://schemas.openxmlformats.org/officeDocument/2006/relationships/hyperlink" Target="https://canvas.ucsd.edu/courses/71826/users/100561" TargetMode="External"/><Relationship Id="rId16" Type="http://schemas.openxmlformats.org/officeDocument/2006/relationships/hyperlink" Target="https://canvas.ucsd.edu/courses/71826/users/258387" TargetMode="External"/><Relationship Id="rId20" Type="http://schemas.openxmlformats.org/officeDocument/2006/relationships/hyperlink" Target="https://canvas.ucsd.edu/courses/71826/users/214857" TargetMode="External"/><Relationship Id="rId29" Type="http://schemas.openxmlformats.org/officeDocument/2006/relationships/hyperlink" Target="https://canvas.ucsd.edu/courses/71826/users/257973" TargetMode="External"/><Relationship Id="rId1" Type="http://schemas.openxmlformats.org/officeDocument/2006/relationships/hyperlink" Target="https://canvas.ucsd.edu/courses/71826/users/258229" TargetMode="External"/><Relationship Id="rId6" Type="http://schemas.openxmlformats.org/officeDocument/2006/relationships/hyperlink" Target="https://canvas.ucsd.edu/courses/71826/users/258039" TargetMode="External"/><Relationship Id="rId11" Type="http://schemas.openxmlformats.org/officeDocument/2006/relationships/hyperlink" Target="https://canvas.ucsd.edu/courses/71826/users/127769" TargetMode="External"/><Relationship Id="rId24" Type="http://schemas.openxmlformats.org/officeDocument/2006/relationships/hyperlink" Target="https://canvas.ucsd.edu/courses/71826/users/215275" TargetMode="External"/><Relationship Id="rId32" Type="http://schemas.openxmlformats.org/officeDocument/2006/relationships/hyperlink" Target="https://canvas.ucsd.edu/courses/71826/users/103623" TargetMode="External"/><Relationship Id="rId5" Type="http://schemas.openxmlformats.org/officeDocument/2006/relationships/hyperlink" Target="https://canvas.ucsd.edu/courses/71826/users/96065" TargetMode="External"/><Relationship Id="rId15" Type="http://schemas.openxmlformats.org/officeDocument/2006/relationships/hyperlink" Target="https://canvas.ucsd.edu/courses/71826/users/257963" TargetMode="External"/><Relationship Id="rId23" Type="http://schemas.openxmlformats.org/officeDocument/2006/relationships/hyperlink" Target="https://canvas.ucsd.edu/courses/71826/users/245129" TargetMode="External"/><Relationship Id="rId28" Type="http://schemas.openxmlformats.org/officeDocument/2006/relationships/hyperlink" Target="https://canvas.ucsd.edu/courses/71826/users/246597" TargetMode="External"/><Relationship Id="rId10" Type="http://schemas.openxmlformats.org/officeDocument/2006/relationships/hyperlink" Target="https://canvas.ucsd.edu/courses/71826/users/217172" TargetMode="External"/><Relationship Id="rId19" Type="http://schemas.openxmlformats.org/officeDocument/2006/relationships/hyperlink" Target="https://canvas.ucsd.edu/courses/71826/users/48607" TargetMode="External"/><Relationship Id="rId31" Type="http://schemas.openxmlformats.org/officeDocument/2006/relationships/hyperlink" Target="https://canvas.ucsd.edu/courses/71826/users/212716" TargetMode="External"/><Relationship Id="rId4" Type="http://schemas.openxmlformats.org/officeDocument/2006/relationships/hyperlink" Target="https://canvas.ucsd.edu/courses/71826/users/230168" TargetMode="External"/><Relationship Id="rId9" Type="http://schemas.openxmlformats.org/officeDocument/2006/relationships/hyperlink" Target="https://canvas.ucsd.edu/courses/71826/users/103051" TargetMode="External"/><Relationship Id="rId14" Type="http://schemas.openxmlformats.org/officeDocument/2006/relationships/hyperlink" Target="https://canvas.ucsd.edu/courses/71826/users/258242" TargetMode="External"/><Relationship Id="rId22" Type="http://schemas.openxmlformats.org/officeDocument/2006/relationships/hyperlink" Target="https://canvas.ucsd.edu/courses/71826/users/258343" TargetMode="External"/><Relationship Id="rId27" Type="http://schemas.openxmlformats.org/officeDocument/2006/relationships/hyperlink" Target="https://canvas.ucsd.edu/courses/71826/users/258528" TargetMode="External"/><Relationship Id="rId30" Type="http://schemas.openxmlformats.org/officeDocument/2006/relationships/hyperlink" Target="https://canvas.ucsd.edu/courses/71826/users/136258" TargetMode="External"/><Relationship Id="rId35" Type="http://schemas.openxmlformats.org/officeDocument/2006/relationships/hyperlink" Target="https://canvas.ucsd.edu/courses/71826/users/97235" TargetMode="External"/><Relationship Id="rId8" Type="http://schemas.openxmlformats.org/officeDocument/2006/relationships/hyperlink" Target="https://canvas.ucsd.edu/courses/71826/users/2579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9F8E6-920C-1941-9778-6E6456C929BB}">
  <dimension ref="A1:L56"/>
  <sheetViews>
    <sheetView tabSelected="1" topLeftCell="A47" zoomScale="137" workbookViewId="0">
      <selection activeCell="A8" sqref="A8"/>
    </sheetView>
  </sheetViews>
  <sheetFormatPr baseColWidth="10" defaultRowHeight="16"/>
  <cols>
    <col min="1" max="1" width="44.1640625" customWidth="1"/>
    <col min="2" max="2" width="31.33203125" customWidth="1"/>
    <col min="3" max="3" width="17.6640625" customWidth="1"/>
  </cols>
  <sheetData>
    <row r="1" spans="1:12">
      <c r="A1" t="s">
        <v>0</v>
      </c>
      <c r="B1" t="s">
        <v>1</v>
      </c>
      <c r="C1" t="s">
        <v>36</v>
      </c>
      <c r="D1" t="s">
        <v>3</v>
      </c>
      <c r="E1" t="s">
        <v>5</v>
      </c>
      <c r="F1" t="s">
        <v>17</v>
      </c>
      <c r="G1" t="s">
        <v>2</v>
      </c>
      <c r="H1" t="s">
        <v>53</v>
      </c>
      <c r="I1" t="s">
        <v>87</v>
      </c>
      <c r="J1" t="s">
        <v>8</v>
      </c>
      <c r="K1" t="s">
        <v>9</v>
      </c>
    </row>
    <row r="2" spans="1:12">
      <c r="A2" t="s">
        <v>11</v>
      </c>
      <c r="B2" t="s">
        <v>7</v>
      </c>
      <c r="C2">
        <v>1</v>
      </c>
      <c r="D2" t="s">
        <v>4</v>
      </c>
      <c r="E2" t="s">
        <v>6</v>
      </c>
      <c r="G2" s="1">
        <v>45937</v>
      </c>
      <c r="J2" s="1">
        <v>46017</v>
      </c>
      <c r="K2" t="s">
        <v>10</v>
      </c>
    </row>
    <row r="3" spans="1:12">
      <c r="A3" t="s">
        <v>13</v>
      </c>
      <c r="B3" t="s">
        <v>14</v>
      </c>
      <c r="C3">
        <v>0</v>
      </c>
      <c r="E3" t="s">
        <v>15</v>
      </c>
      <c r="F3" t="s">
        <v>16</v>
      </c>
      <c r="G3" s="1">
        <v>45937</v>
      </c>
      <c r="J3" s="1">
        <v>46080</v>
      </c>
      <c r="K3" t="s">
        <v>12</v>
      </c>
    </row>
    <row r="4" spans="1:12">
      <c r="A4" t="s">
        <v>19</v>
      </c>
      <c r="B4" t="s">
        <v>18</v>
      </c>
      <c r="C4">
        <v>1</v>
      </c>
      <c r="D4" t="s">
        <v>20</v>
      </c>
      <c r="E4" t="s">
        <v>6</v>
      </c>
      <c r="F4" t="s">
        <v>21</v>
      </c>
      <c r="G4" s="1">
        <v>45937</v>
      </c>
      <c r="J4" s="1">
        <v>46093</v>
      </c>
      <c r="K4" t="s">
        <v>22</v>
      </c>
    </row>
    <row r="5" spans="1:12" s="6" customFormat="1">
      <c r="A5" s="6" t="s">
        <v>24</v>
      </c>
      <c r="B5" s="6" t="s">
        <v>23</v>
      </c>
      <c r="C5" s="6">
        <v>1</v>
      </c>
      <c r="E5" s="6" t="s">
        <v>6</v>
      </c>
      <c r="F5" s="6" t="s">
        <v>25</v>
      </c>
      <c r="G5" s="7">
        <v>45937</v>
      </c>
      <c r="H5" s="8"/>
      <c r="I5" s="8"/>
      <c r="J5" s="7">
        <v>46022</v>
      </c>
      <c r="K5" s="6" t="s">
        <v>26</v>
      </c>
    </row>
    <row r="6" spans="1:12">
      <c r="A6" s="3" t="s">
        <v>30</v>
      </c>
      <c r="B6" s="3" t="s">
        <v>27</v>
      </c>
      <c r="C6" s="3">
        <v>0</v>
      </c>
      <c r="D6" s="3" t="s">
        <v>28</v>
      </c>
      <c r="E6" s="3" t="s">
        <v>6</v>
      </c>
      <c r="F6" s="3" t="s">
        <v>29</v>
      </c>
      <c r="G6" s="4">
        <v>45940</v>
      </c>
      <c r="H6" s="5"/>
      <c r="I6" s="5"/>
      <c r="J6" s="3"/>
      <c r="K6" s="3" t="s">
        <v>33</v>
      </c>
      <c r="L6" s="3"/>
    </row>
    <row r="7" spans="1:12" s="3" customFormat="1">
      <c r="A7" s="3" t="s">
        <v>31</v>
      </c>
      <c r="B7" s="3" t="s">
        <v>27</v>
      </c>
      <c r="C7" s="3">
        <v>0</v>
      </c>
      <c r="D7" s="3" t="s">
        <v>28</v>
      </c>
      <c r="E7" s="3" t="s">
        <v>6</v>
      </c>
      <c r="F7" s="3">
        <v>21</v>
      </c>
      <c r="G7" s="4">
        <v>45940</v>
      </c>
      <c r="K7" s="3" t="s">
        <v>32</v>
      </c>
    </row>
    <row r="8" spans="1:12">
      <c r="A8" s="9" t="s">
        <v>34</v>
      </c>
      <c r="B8" s="9" t="s">
        <v>35</v>
      </c>
      <c r="C8" s="9">
        <v>1</v>
      </c>
      <c r="D8" s="9" t="s">
        <v>28</v>
      </c>
      <c r="E8" s="9" t="s">
        <v>6</v>
      </c>
      <c r="F8" s="9"/>
      <c r="G8" s="21">
        <v>45954</v>
      </c>
    </row>
    <row r="9" spans="1:12">
      <c r="A9" t="s">
        <v>30</v>
      </c>
      <c r="B9" t="s">
        <v>37</v>
      </c>
      <c r="C9">
        <v>1</v>
      </c>
      <c r="D9" t="s">
        <v>38</v>
      </c>
      <c r="E9" t="s">
        <v>6</v>
      </c>
    </row>
    <row r="10" spans="1:12">
      <c r="A10" t="s">
        <v>39</v>
      </c>
      <c r="B10" t="s">
        <v>37</v>
      </c>
      <c r="C10">
        <v>1</v>
      </c>
      <c r="D10" t="s">
        <v>38</v>
      </c>
      <c r="E10" t="s">
        <v>6</v>
      </c>
    </row>
    <row r="11" spans="1:12" s="3" customFormat="1">
      <c r="A11" s="3" t="s">
        <v>84</v>
      </c>
      <c r="B11" s="3" t="s">
        <v>85</v>
      </c>
      <c r="C11" s="3">
        <v>1</v>
      </c>
      <c r="D11" s="3" t="s">
        <v>86</v>
      </c>
      <c r="E11" s="3" t="s">
        <v>82</v>
      </c>
      <c r="G11" s="4">
        <v>45965</v>
      </c>
      <c r="I11" s="4">
        <v>45985</v>
      </c>
    </row>
    <row r="12" spans="1:12">
      <c r="A12" t="s">
        <v>30</v>
      </c>
      <c r="B12" t="s">
        <v>42</v>
      </c>
      <c r="C12">
        <v>1</v>
      </c>
      <c r="D12" t="s">
        <v>43</v>
      </c>
      <c r="E12" s="2" t="s">
        <v>6</v>
      </c>
      <c r="F12" t="s">
        <v>44</v>
      </c>
      <c r="G12" s="1">
        <v>45965</v>
      </c>
      <c r="H12">
        <v>31787</v>
      </c>
    </row>
    <row r="13" spans="1:12">
      <c r="A13" s="3" t="s">
        <v>41</v>
      </c>
      <c r="B13" s="3" t="s">
        <v>40</v>
      </c>
      <c r="C13" s="3">
        <v>0</v>
      </c>
      <c r="D13" s="3" t="s">
        <v>28</v>
      </c>
      <c r="E13" s="3"/>
      <c r="F13" s="3"/>
      <c r="G13" s="4">
        <v>45965</v>
      </c>
      <c r="H13" s="5"/>
      <c r="I13" s="5"/>
      <c r="J13" s="3"/>
    </row>
    <row r="14" spans="1:12">
      <c r="A14" t="s">
        <v>47</v>
      </c>
      <c r="B14" t="s">
        <v>45</v>
      </c>
      <c r="C14">
        <v>1</v>
      </c>
      <c r="D14" t="s">
        <v>46</v>
      </c>
      <c r="E14" t="s">
        <v>61</v>
      </c>
      <c r="G14" s="1">
        <v>45965</v>
      </c>
      <c r="H14">
        <v>4250</v>
      </c>
    </row>
    <row r="15" spans="1:12" s="3" customFormat="1">
      <c r="A15" s="3" t="s">
        <v>48</v>
      </c>
      <c r="B15" s="3" t="s">
        <v>45</v>
      </c>
      <c r="C15" s="3">
        <v>1</v>
      </c>
      <c r="D15" s="3" t="s">
        <v>51</v>
      </c>
      <c r="E15" s="3" t="s">
        <v>61</v>
      </c>
      <c r="F15" s="3" t="s">
        <v>49</v>
      </c>
      <c r="G15" s="4">
        <v>45967</v>
      </c>
      <c r="H15" s="3">
        <v>3608</v>
      </c>
    </row>
    <row r="16" spans="1:12">
      <c r="A16" s="3" t="s">
        <v>48</v>
      </c>
      <c r="B16" s="3" t="s">
        <v>45</v>
      </c>
      <c r="C16" s="3">
        <v>1</v>
      </c>
      <c r="D16" s="3" t="s">
        <v>50</v>
      </c>
      <c r="E16" s="3" t="s">
        <v>61</v>
      </c>
      <c r="F16" s="3" t="s">
        <v>49</v>
      </c>
      <c r="G16" s="4">
        <v>45967</v>
      </c>
      <c r="H16" s="3">
        <v>3599</v>
      </c>
    </row>
    <row r="17" spans="1:10">
      <c r="A17" t="s">
        <v>48</v>
      </c>
      <c r="B17" t="s">
        <v>45</v>
      </c>
      <c r="C17">
        <v>1</v>
      </c>
      <c r="D17" t="s">
        <v>52</v>
      </c>
      <c r="E17" t="s">
        <v>61</v>
      </c>
      <c r="F17" t="s">
        <v>49</v>
      </c>
      <c r="G17" s="1">
        <v>45967</v>
      </c>
      <c r="H17">
        <v>4249</v>
      </c>
    </row>
    <row r="18" spans="1:10">
      <c r="A18" t="s">
        <v>48</v>
      </c>
      <c r="B18" t="s">
        <v>45</v>
      </c>
      <c r="C18">
        <v>1</v>
      </c>
      <c r="D18" t="s">
        <v>46</v>
      </c>
      <c r="E18" t="s">
        <v>61</v>
      </c>
      <c r="F18" t="s">
        <v>49</v>
      </c>
      <c r="G18" s="1">
        <v>45967</v>
      </c>
      <c r="H18">
        <v>4258</v>
      </c>
    </row>
    <row r="19" spans="1:10">
      <c r="A19" t="s">
        <v>48</v>
      </c>
      <c r="B19" t="s">
        <v>45</v>
      </c>
      <c r="C19">
        <v>1</v>
      </c>
      <c r="D19" t="s">
        <v>54</v>
      </c>
      <c r="E19" t="s">
        <v>61</v>
      </c>
      <c r="F19" t="s">
        <v>49</v>
      </c>
      <c r="G19" s="1">
        <v>45967</v>
      </c>
      <c r="H19">
        <v>4257</v>
      </c>
    </row>
    <row r="20" spans="1:10" s="3" customFormat="1">
      <c r="A20" s="3" t="s">
        <v>48</v>
      </c>
      <c r="B20" s="3" t="s">
        <v>45</v>
      </c>
      <c r="C20" s="3">
        <v>1</v>
      </c>
      <c r="D20" s="3" t="s">
        <v>55</v>
      </c>
      <c r="E20" s="3" t="s">
        <v>61</v>
      </c>
      <c r="F20" s="3" t="s">
        <v>49</v>
      </c>
      <c r="G20" s="4">
        <v>45967</v>
      </c>
      <c r="H20" s="3">
        <v>3619</v>
      </c>
    </row>
    <row r="21" spans="1:10" s="3" customFormat="1">
      <c r="A21" s="3" t="s">
        <v>48</v>
      </c>
      <c r="B21" s="3" t="s">
        <v>45</v>
      </c>
      <c r="C21" s="3">
        <v>1</v>
      </c>
      <c r="D21" s="3" t="s">
        <v>56</v>
      </c>
      <c r="E21" s="3" t="s">
        <v>61</v>
      </c>
      <c r="F21" s="3" t="s">
        <v>49</v>
      </c>
      <c r="G21" s="4">
        <v>45967</v>
      </c>
      <c r="H21" s="3">
        <v>3597</v>
      </c>
    </row>
    <row r="22" spans="1:10">
      <c r="A22" t="s">
        <v>47</v>
      </c>
      <c r="B22" t="s">
        <v>45</v>
      </c>
      <c r="C22">
        <v>1</v>
      </c>
      <c r="D22" t="s">
        <v>57</v>
      </c>
      <c r="E22" t="s">
        <v>61</v>
      </c>
      <c r="F22" t="s">
        <v>49</v>
      </c>
      <c r="G22" s="1">
        <v>45967</v>
      </c>
      <c r="H22">
        <v>4233</v>
      </c>
    </row>
    <row r="23" spans="1:10">
      <c r="A23" s="3" t="s">
        <v>47</v>
      </c>
      <c r="B23" s="3" t="s">
        <v>45</v>
      </c>
      <c r="C23" s="3">
        <v>1</v>
      </c>
      <c r="D23" s="3" t="s">
        <v>58</v>
      </c>
      <c r="E23" s="3" t="s">
        <v>61</v>
      </c>
      <c r="F23" s="3" t="s">
        <v>49</v>
      </c>
      <c r="G23" s="4">
        <v>45967</v>
      </c>
      <c r="H23" s="3">
        <v>4248</v>
      </c>
      <c r="I23" s="3"/>
    </row>
    <row r="24" spans="1:10">
      <c r="A24" t="s">
        <v>59</v>
      </c>
      <c r="B24" t="s">
        <v>60</v>
      </c>
      <c r="C24">
        <v>1</v>
      </c>
      <c r="D24" t="s">
        <v>28</v>
      </c>
      <c r="E24" t="s">
        <v>61</v>
      </c>
      <c r="F24" t="s">
        <v>62</v>
      </c>
      <c r="G24" s="1">
        <v>45967</v>
      </c>
      <c r="H24" t="s">
        <v>64</v>
      </c>
      <c r="J24" s="1">
        <v>46051</v>
      </c>
    </row>
    <row r="25" spans="1:10">
      <c r="A25" t="s">
        <v>63</v>
      </c>
      <c r="B25" t="s">
        <v>60</v>
      </c>
      <c r="C25">
        <v>1</v>
      </c>
      <c r="D25" t="s">
        <v>28</v>
      </c>
      <c r="E25" t="s">
        <v>61</v>
      </c>
      <c r="F25" t="s">
        <v>62</v>
      </c>
      <c r="G25" s="1">
        <v>45967</v>
      </c>
      <c r="H25" t="s">
        <v>65</v>
      </c>
      <c r="J25" s="1">
        <v>46051</v>
      </c>
    </row>
    <row r="26" spans="1:10">
      <c r="A26" t="s">
        <v>68</v>
      </c>
      <c r="B26" t="s">
        <v>67</v>
      </c>
      <c r="C26">
        <v>1</v>
      </c>
      <c r="D26" t="s">
        <v>69</v>
      </c>
      <c r="E26" t="s">
        <v>6</v>
      </c>
      <c r="F26" t="s">
        <v>70</v>
      </c>
      <c r="G26" s="1">
        <v>45974</v>
      </c>
      <c r="H26" t="s">
        <v>66</v>
      </c>
    </row>
    <row r="27" spans="1:10">
      <c r="A27" t="s">
        <v>73</v>
      </c>
      <c r="B27" t="s">
        <v>72</v>
      </c>
      <c r="C27">
        <v>0</v>
      </c>
      <c r="D27" t="s">
        <v>28</v>
      </c>
      <c r="E27" t="s">
        <v>6</v>
      </c>
      <c r="F27">
        <v>43.04</v>
      </c>
      <c r="G27" s="1">
        <v>45974</v>
      </c>
      <c r="H27" t="s">
        <v>71</v>
      </c>
    </row>
    <row r="28" spans="1:10" s="3" customFormat="1">
      <c r="A28" s="3" t="s">
        <v>75</v>
      </c>
      <c r="B28" s="3" t="s">
        <v>72</v>
      </c>
      <c r="C28" s="3">
        <v>0</v>
      </c>
      <c r="D28" s="3" t="s">
        <v>28</v>
      </c>
      <c r="E28" s="3" t="s">
        <v>6</v>
      </c>
      <c r="F28" s="3">
        <v>47.82</v>
      </c>
      <c r="G28" s="4">
        <v>45974</v>
      </c>
      <c r="H28" s="3" t="s">
        <v>74</v>
      </c>
    </row>
    <row r="29" spans="1:10" s="3" customFormat="1">
      <c r="A29" s="3" t="s">
        <v>77</v>
      </c>
      <c r="B29" s="3" t="s">
        <v>76</v>
      </c>
      <c r="C29" s="3">
        <v>0</v>
      </c>
      <c r="D29" s="3" t="s">
        <v>78</v>
      </c>
      <c r="E29" s="3" t="s">
        <v>6</v>
      </c>
      <c r="F29" s="3" t="s">
        <v>79</v>
      </c>
      <c r="G29" s="4">
        <v>45974</v>
      </c>
    </row>
    <row r="30" spans="1:10">
      <c r="A30" t="s">
        <v>81</v>
      </c>
      <c r="B30" t="s">
        <v>80</v>
      </c>
      <c r="C30">
        <v>1</v>
      </c>
      <c r="E30" t="s">
        <v>82</v>
      </c>
      <c r="G30" s="1">
        <v>45974</v>
      </c>
    </row>
    <row r="31" spans="1:10">
      <c r="A31" t="s">
        <v>83</v>
      </c>
      <c r="B31" t="s">
        <v>72</v>
      </c>
      <c r="C31">
        <v>0</v>
      </c>
      <c r="D31" t="s">
        <v>28</v>
      </c>
      <c r="E31" t="s">
        <v>6</v>
      </c>
      <c r="F31">
        <v>32.659999999999997</v>
      </c>
      <c r="G31" s="1">
        <v>45978</v>
      </c>
    </row>
    <row r="32" spans="1:10">
      <c r="A32" t="s">
        <v>200</v>
      </c>
      <c r="B32" t="s">
        <v>201</v>
      </c>
      <c r="C32">
        <v>0</v>
      </c>
      <c r="D32" t="s">
        <v>28</v>
      </c>
      <c r="E32" t="s">
        <v>6</v>
      </c>
      <c r="G32" s="1">
        <v>45992</v>
      </c>
    </row>
    <row r="33" spans="1:11" s="3" customFormat="1">
      <c r="A33" s="3" t="s">
        <v>88</v>
      </c>
      <c r="B33" s="3" t="s">
        <v>89</v>
      </c>
      <c r="C33" s="3">
        <v>0</v>
      </c>
      <c r="D33" s="3" t="s">
        <v>28</v>
      </c>
      <c r="E33" s="3" t="s">
        <v>6</v>
      </c>
      <c r="F33" s="3" t="s">
        <v>90</v>
      </c>
      <c r="G33" s="4">
        <v>45994</v>
      </c>
      <c r="H33" s="3">
        <v>10431</v>
      </c>
    </row>
    <row r="34" spans="1:11">
      <c r="A34" t="s">
        <v>197</v>
      </c>
      <c r="B34" t="s">
        <v>198</v>
      </c>
      <c r="C34">
        <v>0</v>
      </c>
      <c r="D34" t="s">
        <v>28</v>
      </c>
      <c r="E34" t="s">
        <v>6</v>
      </c>
      <c r="F34" t="s">
        <v>199</v>
      </c>
      <c r="G34" s="1">
        <v>46007</v>
      </c>
    </row>
    <row r="35" spans="1:11">
      <c r="A35" s="3" t="s">
        <v>202</v>
      </c>
      <c r="B35" s="3" t="s">
        <v>203</v>
      </c>
      <c r="C35" s="3">
        <v>0</v>
      </c>
      <c r="D35" s="3" t="s">
        <v>28</v>
      </c>
      <c r="E35" s="3" t="s">
        <v>6</v>
      </c>
      <c r="F35" s="3"/>
      <c r="G35" s="4">
        <v>46009</v>
      </c>
      <c r="H35" s="3" t="s">
        <v>204</v>
      </c>
      <c r="I35" s="3"/>
      <c r="J35" s="3"/>
      <c r="K35" s="3"/>
    </row>
    <row r="36" spans="1:11" s="3" customFormat="1">
      <c r="A36" s="3" t="s">
        <v>207</v>
      </c>
      <c r="B36" s="3" t="s">
        <v>206</v>
      </c>
      <c r="C36" s="3">
        <v>1</v>
      </c>
      <c r="D36" s="3" t="s">
        <v>205</v>
      </c>
      <c r="E36" s="3" t="s">
        <v>6</v>
      </c>
      <c r="F36" s="3" t="s">
        <v>208</v>
      </c>
      <c r="G36" s="4">
        <v>46009</v>
      </c>
      <c r="H36" s="3">
        <v>56042</v>
      </c>
    </row>
    <row r="37" spans="1:11" s="3" customFormat="1">
      <c r="A37" s="3" t="s">
        <v>209</v>
      </c>
      <c r="B37" s="3" t="s">
        <v>210</v>
      </c>
      <c r="C37" s="3">
        <v>0</v>
      </c>
      <c r="D37" s="3" t="s">
        <v>211</v>
      </c>
      <c r="E37" s="3" t="s">
        <v>6</v>
      </c>
      <c r="F37" s="3" t="s">
        <v>212</v>
      </c>
      <c r="G37" s="4">
        <v>46009</v>
      </c>
      <c r="H37" s="3" t="s">
        <v>213</v>
      </c>
    </row>
    <row r="38" spans="1:11">
      <c r="A38" t="s">
        <v>214</v>
      </c>
      <c r="B38" t="s">
        <v>215</v>
      </c>
      <c r="C38">
        <v>0</v>
      </c>
      <c r="D38" t="s">
        <v>28</v>
      </c>
      <c r="E38" t="s">
        <v>6</v>
      </c>
      <c r="F38">
        <v>30</v>
      </c>
      <c r="G38" s="1">
        <v>46009</v>
      </c>
    </row>
    <row r="39" spans="1:11">
      <c r="A39" t="s">
        <v>236</v>
      </c>
      <c r="B39" t="s">
        <v>237</v>
      </c>
      <c r="C39">
        <v>0</v>
      </c>
      <c r="D39" t="s">
        <v>28</v>
      </c>
      <c r="E39" t="s">
        <v>6</v>
      </c>
      <c r="G39" s="1">
        <v>46013</v>
      </c>
      <c r="H39" t="s">
        <v>238</v>
      </c>
    </row>
    <row r="40" spans="1:11">
      <c r="A40" t="s">
        <v>30</v>
      </c>
      <c r="B40" t="s">
        <v>315</v>
      </c>
      <c r="C40">
        <v>0</v>
      </c>
      <c r="D40" t="s">
        <v>28</v>
      </c>
      <c r="E40" t="s">
        <v>6</v>
      </c>
      <c r="F40" t="s">
        <v>316</v>
      </c>
      <c r="G40" s="1">
        <v>46031</v>
      </c>
    </row>
    <row r="41" spans="1:11" s="3" customFormat="1">
      <c r="A41" s="3" t="s">
        <v>320</v>
      </c>
      <c r="B41" s="3" t="s">
        <v>318</v>
      </c>
      <c r="C41" s="3">
        <v>0</v>
      </c>
      <c r="D41" s="3" t="s">
        <v>28</v>
      </c>
      <c r="E41" s="3" t="s">
        <v>15</v>
      </c>
      <c r="F41" s="3" t="s">
        <v>319</v>
      </c>
      <c r="G41" s="4">
        <v>46031</v>
      </c>
      <c r="H41" s="3">
        <v>581</v>
      </c>
    </row>
    <row r="42" spans="1:11" s="3" customFormat="1">
      <c r="A42" s="3" t="s">
        <v>317</v>
      </c>
      <c r="B42" s="3" t="s">
        <v>318</v>
      </c>
      <c r="C42" s="3">
        <v>0</v>
      </c>
      <c r="D42" s="3" t="s">
        <v>28</v>
      </c>
      <c r="E42" s="3" t="s">
        <v>15</v>
      </c>
      <c r="F42" s="3" t="s">
        <v>319</v>
      </c>
      <c r="G42" s="4">
        <v>46031</v>
      </c>
      <c r="H42" s="3">
        <v>556</v>
      </c>
    </row>
    <row r="43" spans="1:11">
      <c r="A43" t="s">
        <v>321</v>
      </c>
      <c r="B43" t="s">
        <v>322</v>
      </c>
      <c r="C43">
        <v>0</v>
      </c>
      <c r="D43" t="s">
        <v>28</v>
      </c>
      <c r="E43" t="s">
        <v>6</v>
      </c>
      <c r="G43" s="1">
        <v>46031</v>
      </c>
      <c r="H43" t="s">
        <v>323</v>
      </c>
    </row>
    <row r="44" spans="1:11">
      <c r="A44" t="s">
        <v>11</v>
      </c>
      <c r="B44" t="s">
        <v>322</v>
      </c>
      <c r="C44">
        <v>0</v>
      </c>
      <c r="D44" t="s">
        <v>28</v>
      </c>
      <c r="E44" t="s">
        <v>6</v>
      </c>
      <c r="G44" s="1">
        <v>46031</v>
      </c>
      <c r="H44" t="s">
        <v>324</v>
      </c>
    </row>
    <row r="45" spans="1:11">
      <c r="A45" t="s">
        <v>327</v>
      </c>
      <c r="B45" t="s">
        <v>328</v>
      </c>
      <c r="C45">
        <v>1</v>
      </c>
      <c r="D45" t="s">
        <v>326</v>
      </c>
      <c r="E45" t="s">
        <v>6</v>
      </c>
      <c r="G45" s="1">
        <v>46031</v>
      </c>
      <c r="H45" t="s">
        <v>325</v>
      </c>
    </row>
    <row r="46" spans="1:11">
      <c r="A46" t="s">
        <v>30</v>
      </c>
      <c r="B46" t="s">
        <v>42</v>
      </c>
      <c r="C46">
        <v>1</v>
      </c>
      <c r="D46" t="s">
        <v>43</v>
      </c>
      <c r="E46" s="2" t="s">
        <v>6</v>
      </c>
      <c r="F46" t="s">
        <v>44</v>
      </c>
      <c r="G46" s="1">
        <v>46034</v>
      </c>
      <c r="H46">
        <v>34526</v>
      </c>
    </row>
    <row r="47" spans="1:11">
      <c r="A47" t="s">
        <v>342</v>
      </c>
      <c r="B47" t="s">
        <v>210</v>
      </c>
      <c r="C47">
        <v>0</v>
      </c>
      <c r="D47" t="s">
        <v>211</v>
      </c>
      <c r="E47" t="s">
        <v>6</v>
      </c>
      <c r="F47" t="s">
        <v>212</v>
      </c>
      <c r="G47" s="1">
        <v>46036</v>
      </c>
      <c r="H47" t="s">
        <v>341</v>
      </c>
    </row>
    <row r="48" spans="1:11">
      <c r="A48" t="s">
        <v>343</v>
      </c>
      <c r="B48" t="s">
        <v>85</v>
      </c>
      <c r="C48">
        <v>1</v>
      </c>
      <c r="D48" t="s">
        <v>86</v>
      </c>
      <c r="E48" t="s">
        <v>82</v>
      </c>
      <c r="F48" t="s">
        <v>344</v>
      </c>
      <c r="G48" s="1">
        <v>46039</v>
      </c>
    </row>
    <row r="49" spans="1:8" s="3" customFormat="1">
      <c r="A49" s="3" t="s">
        <v>346</v>
      </c>
      <c r="B49" s="3" t="s">
        <v>85</v>
      </c>
      <c r="C49" s="3">
        <v>1</v>
      </c>
      <c r="D49" s="3" t="s">
        <v>86</v>
      </c>
      <c r="E49" s="3" t="s">
        <v>82</v>
      </c>
      <c r="F49" s="3" t="s">
        <v>344</v>
      </c>
      <c r="G49" s="4">
        <v>46039</v>
      </c>
      <c r="H49" s="3" t="s">
        <v>345</v>
      </c>
    </row>
    <row r="50" spans="1:8">
      <c r="A50" t="s">
        <v>348</v>
      </c>
      <c r="B50" t="s">
        <v>347</v>
      </c>
      <c r="C50">
        <v>0</v>
      </c>
      <c r="D50" t="s">
        <v>28</v>
      </c>
      <c r="E50" t="s">
        <v>6</v>
      </c>
      <c r="G50" s="1">
        <v>46039</v>
      </c>
    </row>
    <row r="51" spans="1:8">
      <c r="A51" t="s">
        <v>350</v>
      </c>
      <c r="B51" t="s">
        <v>349</v>
      </c>
      <c r="C51">
        <v>1</v>
      </c>
      <c r="D51" t="s">
        <v>28</v>
      </c>
      <c r="E51" t="s">
        <v>15</v>
      </c>
      <c r="F51" t="s">
        <v>351</v>
      </c>
      <c r="G51" s="1">
        <v>46042</v>
      </c>
    </row>
    <row r="52" spans="1:8">
      <c r="A52" t="s">
        <v>450</v>
      </c>
      <c r="B52" t="s">
        <v>35</v>
      </c>
      <c r="C52">
        <v>1</v>
      </c>
      <c r="D52" t="s">
        <v>28</v>
      </c>
      <c r="E52" t="s">
        <v>6</v>
      </c>
      <c r="F52" t="s">
        <v>451</v>
      </c>
      <c r="G52" s="1">
        <v>46056</v>
      </c>
      <c r="H52" s="22" t="s">
        <v>452</v>
      </c>
    </row>
    <row r="53" spans="1:8">
      <c r="A53" t="s">
        <v>197</v>
      </c>
      <c r="B53" t="s">
        <v>453</v>
      </c>
      <c r="C53">
        <v>0</v>
      </c>
      <c r="D53" t="s">
        <v>454</v>
      </c>
      <c r="E53" t="s">
        <v>6</v>
      </c>
      <c r="F53" t="s">
        <v>455</v>
      </c>
      <c r="G53" s="1">
        <v>46057</v>
      </c>
      <c r="H53" t="s">
        <v>456</v>
      </c>
    </row>
    <row r="54" spans="1:8">
      <c r="A54" t="s">
        <v>489</v>
      </c>
      <c r="B54" t="s">
        <v>490</v>
      </c>
      <c r="C54">
        <v>0</v>
      </c>
      <c r="D54" t="s">
        <v>491</v>
      </c>
      <c r="E54" t="s">
        <v>15</v>
      </c>
      <c r="G54" s="1">
        <v>46084</v>
      </c>
    </row>
    <row r="55" spans="1:8">
      <c r="A55" t="s">
        <v>492</v>
      </c>
      <c r="B55" t="s">
        <v>493</v>
      </c>
      <c r="C55">
        <v>0</v>
      </c>
      <c r="D55" t="s">
        <v>28</v>
      </c>
      <c r="G55" s="1">
        <v>46084</v>
      </c>
      <c r="H55" t="s">
        <v>494</v>
      </c>
    </row>
    <row r="56" spans="1:8">
      <c r="A56" t="s">
        <v>496</v>
      </c>
      <c r="B56" t="s">
        <v>497</v>
      </c>
      <c r="C56">
        <v>0</v>
      </c>
      <c r="D56" t="s">
        <v>454</v>
      </c>
      <c r="F56" t="s">
        <v>498</v>
      </c>
      <c r="G56" s="1">
        <v>46084</v>
      </c>
      <c r="H56" t="s">
        <v>495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20765-0684-514E-89F8-19AAAFE7275C}">
  <dimension ref="A2:I17"/>
  <sheetViews>
    <sheetView workbookViewId="0">
      <selection activeCell="C17" sqref="C17"/>
    </sheetView>
  </sheetViews>
  <sheetFormatPr baseColWidth="10" defaultRowHeight="16"/>
  <cols>
    <col min="2" max="2" width="37" customWidth="1"/>
    <col min="3" max="3" width="44.6640625" customWidth="1"/>
  </cols>
  <sheetData>
    <row r="2" spans="1:9" ht="23">
      <c r="A2" s="23" t="s">
        <v>457</v>
      </c>
      <c r="B2" s="23" t="s">
        <v>458</v>
      </c>
      <c r="C2" s="23" t="e" vm="1">
        <v>#VALUE!</v>
      </c>
      <c r="D2" s="23" t="e" vm="2">
        <v>#VALUE!</v>
      </c>
      <c r="E2" s="23" t="e" vm="3">
        <v>#VALUE!</v>
      </c>
      <c r="F2" s="23" t="e" vm="4">
        <v>#VALUE!</v>
      </c>
      <c r="G2" s="23" t="e" vm="5">
        <v>#VALUE!</v>
      </c>
    </row>
    <row r="3" spans="1:9" ht="31">
      <c r="A3" s="24"/>
      <c r="B3" s="12" t="s">
        <v>459</v>
      </c>
      <c r="C3" s="12" t="s">
        <v>460</v>
      </c>
      <c r="D3" s="25"/>
      <c r="E3" s="25"/>
      <c r="F3" s="25"/>
      <c r="G3" s="25"/>
      <c r="H3" s="25"/>
    </row>
    <row r="4" spans="1:9" ht="31">
      <c r="A4" s="24"/>
      <c r="B4" s="12" t="s">
        <v>461</v>
      </c>
      <c r="C4" s="12" t="s">
        <v>462</v>
      </c>
      <c r="D4" s="25"/>
      <c r="E4" s="25"/>
      <c r="F4" s="25"/>
      <c r="G4" s="25"/>
      <c r="H4" s="25"/>
      <c r="I4" t="s">
        <v>488</v>
      </c>
    </row>
    <row r="5" spans="1:9" ht="31">
      <c r="A5" s="24"/>
      <c r="B5" s="12" t="s">
        <v>463</v>
      </c>
      <c r="C5" s="12" t="s">
        <v>464</v>
      </c>
      <c r="D5" s="25"/>
      <c r="E5" s="25"/>
      <c r="F5" s="25"/>
      <c r="G5" s="25"/>
      <c r="H5" s="25"/>
    </row>
    <row r="6" spans="1:9" ht="31">
      <c r="A6" s="24"/>
      <c r="B6" s="12" t="s">
        <v>465</v>
      </c>
      <c r="C6" s="12" t="s">
        <v>466</v>
      </c>
      <c r="D6" s="25"/>
      <c r="E6" s="25"/>
      <c r="F6" s="25"/>
      <c r="G6" s="25"/>
      <c r="H6" s="25"/>
    </row>
    <row r="7" spans="1:9" ht="31">
      <c r="A7" s="24"/>
      <c r="B7" s="12" t="s">
        <v>467</v>
      </c>
      <c r="C7" s="12" t="s">
        <v>468</v>
      </c>
      <c r="D7" s="25"/>
      <c r="E7" s="25"/>
      <c r="F7" s="25"/>
      <c r="G7" s="25"/>
      <c r="H7" s="25"/>
    </row>
    <row r="8" spans="1:9" ht="31">
      <c r="A8" s="24"/>
      <c r="B8" s="12" t="s">
        <v>469</v>
      </c>
      <c r="C8" s="12" t="s">
        <v>470</v>
      </c>
      <c r="D8" s="25"/>
      <c r="E8" s="25"/>
      <c r="F8" s="25" t="e" vm="3">
        <v>#VALUE!</v>
      </c>
      <c r="G8" s="25"/>
      <c r="H8" s="25" t="e" vm="5">
        <v>#VALUE!</v>
      </c>
    </row>
    <row r="9" spans="1:9" ht="31">
      <c r="A9" s="24"/>
      <c r="B9" s="12" t="s">
        <v>471</v>
      </c>
      <c r="C9" s="12" t="s">
        <v>472</v>
      </c>
      <c r="D9" s="25"/>
      <c r="E9" s="25"/>
      <c r="F9" s="25"/>
      <c r="G9" s="25"/>
      <c r="H9" s="25"/>
    </row>
    <row r="10" spans="1:9" ht="31">
      <c r="A10" s="24"/>
      <c r="B10" s="12" t="s">
        <v>473</v>
      </c>
      <c r="C10" s="12" t="s">
        <v>474</v>
      </c>
      <c r="D10" s="25"/>
      <c r="E10" s="25"/>
      <c r="F10" s="25"/>
      <c r="G10" s="25"/>
      <c r="H10" s="25"/>
    </row>
    <row r="11" spans="1:9" ht="31">
      <c r="A11" s="24"/>
      <c r="B11" s="12" t="s">
        <v>475</v>
      </c>
      <c r="C11" s="12" t="s">
        <v>476</v>
      </c>
      <c r="D11" s="25"/>
      <c r="E11" s="25"/>
      <c r="F11" s="25"/>
      <c r="G11" s="25"/>
      <c r="H11" s="25" t="e" vm="5">
        <v>#VALUE!</v>
      </c>
    </row>
    <row r="12" spans="1:9" ht="31">
      <c r="A12" s="24"/>
      <c r="B12" s="12" t="s">
        <v>477</v>
      </c>
      <c r="C12" s="12" t="s">
        <v>476</v>
      </c>
      <c r="D12" s="25"/>
      <c r="E12" s="25"/>
      <c r="F12" s="25"/>
      <c r="G12" s="25"/>
      <c r="H12" s="25" t="e" vm="5">
        <v>#VALUE!</v>
      </c>
    </row>
    <row r="13" spans="1:9" ht="31">
      <c r="A13" s="24"/>
      <c r="B13" s="12" t="s">
        <v>478</v>
      </c>
      <c r="C13" s="12" t="s">
        <v>479</v>
      </c>
      <c r="D13" s="25"/>
      <c r="E13" s="25"/>
      <c r="F13" s="25"/>
      <c r="G13" s="25"/>
      <c r="H13" s="25"/>
    </row>
    <row r="14" spans="1:9" ht="31">
      <c r="A14" s="24"/>
      <c r="B14" s="12" t="s">
        <v>480</v>
      </c>
      <c r="C14" s="12" t="s">
        <v>481</v>
      </c>
      <c r="D14" s="25"/>
      <c r="E14" s="25"/>
      <c r="F14" s="25"/>
      <c r="G14" s="25"/>
      <c r="H14" s="25"/>
    </row>
    <row r="15" spans="1:9" ht="31">
      <c r="A15" s="24"/>
      <c r="B15" s="12" t="s">
        <v>482</v>
      </c>
      <c r="C15" s="12" t="s">
        <v>483</v>
      </c>
      <c r="D15" s="25"/>
      <c r="E15" s="25"/>
      <c r="F15" s="25"/>
      <c r="G15" s="25"/>
      <c r="H15" s="25" t="e" vm="5">
        <v>#VALUE!</v>
      </c>
    </row>
    <row r="16" spans="1:9" ht="31">
      <c r="A16" s="24"/>
      <c r="B16" s="12" t="s">
        <v>484</v>
      </c>
      <c r="C16" s="12" t="s">
        <v>485</v>
      </c>
      <c r="D16" s="25"/>
      <c r="E16" s="25"/>
      <c r="F16" s="25"/>
      <c r="G16" s="25"/>
      <c r="H16" s="25"/>
    </row>
    <row r="17" spans="1:8" ht="31">
      <c r="A17" s="24"/>
      <c r="B17" s="12" t="s">
        <v>486</v>
      </c>
      <c r="C17" s="12" t="s">
        <v>487</v>
      </c>
      <c r="D17" s="25"/>
      <c r="E17" s="25"/>
      <c r="F17" s="25"/>
      <c r="G17" s="25"/>
      <c r="H17" s="25"/>
    </row>
  </sheetData>
  <hyperlinks>
    <hyperlink ref="B3" r:id="rId1" display="https://exhibitors.iesna.com/co/advanced-test-equipment-rentals" xr:uid="{9C9BA607-2EBC-5343-BD5B-68F62FEF8BAC}"/>
    <hyperlink ref="C3" r:id="rId2" display="https://s23.a2zinc.net/clients/diversified/isnaesna2026/Public/eventmap.aspx?EventId=123&amp;MapItBoothID=236165&amp;MapItBooth=3048&amp;MapID=212" xr:uid="{83383D0F-B580-F743-AAE1-D165DE8963A4}"/>
    <hyperlink ref="B4" r:id="rId3" display="https://exhibitors.iesna.com/co/contractors-edge" xr:uid="{12E5D938-EC21-2441-9EE3-A9EAC512FE82}"/>
    <hyperlink ref="C4" r:id="rId4" display="https://s23.a2zinc.net/clients/diversified/isnaesna2026/Public/eventmap.aspx?EventId=123&amp;MapItBoothID=236161&amp;MapItBooth=2950&amp;MapID=212" xr:uid="{49915E97-E823-BA45-B4D2-25DD8BEB5C2D}"/>
    <hyperlink ref="B5" r:id="rId5" display="https://exhibitors.iesna.com/co/cyth-systems" xr:uid="{2DCEB80D-21E6-B740-8803-BD8F234F10ED}"/>
    <hyperlink ref="C5" r:id="rId6" display="https://s23.a2zinc.net/clients/diversified/isnaesna2026/Public/eventmap.aspx?EventId=123&amp;MapItBoothID=261992&amp;MapItBooth=3752&amp;MapID=212" xr:uid="{9387D0D0-CA0B-F141-B50B-21B3EFE6EB86}"/>
    <hyperlink ref="B6" r:id="rId7" display="https://exhibitors.iesna.com/co/hitachi-energy" xr:uid="{EDE0D233-2B48-E24F-AA01-DFD4A3323B0A}"/>
    <hyperlink ref="C6" r:id="rId8" display="https://s23.a2zinc.net/clients/diversified/isnaesna2026/Public/eventmap.aspx?EventId=123&amp;MapItBoothID=260086&amp;MapItBooth=2118&amp;MapID=212" xr:uid="{E64923CE-DD8A-524D-B183-493745618240}"/>
    <hyperlink ref="B7" r:id="rId9" display="https://exhibitors.iesna.com/co/k2-systems" xr:uid="{305F494C-75E4-9D4C-BBDC-EA2D69A5A329}"/>
    <hyperlink ref="C7" r:id="rId10" display="https://s23.a2zinc.net/clients/diversified/isnaesna2026/Public/eventmap.aspx?EventId=123&amp;MapItBoothID=261712&amp;MapItBooth=4144&amp;MapID=212" xr:uid="{51A5035E-FE11-854E-B2D3-0607F7CE789B}"/>
    <hyperlink ref="B8" r:id="rId11" display="https://exhibitors.iesna.com/co/keysight-technologies" xr:uid="{1F03BD12-559E-6B49-BDB6-37C09774CD16}"/>
    <hyperlink ref="C8" r:id="rId12" display="https://s23.a2zinc.net/clients/diversified/isnaesna2026/Public/eventmap.aspx?EventId=123&amp;MapItBoothID=235394&amp;MapItBooth=3540&amp;MapID=212" xr:uid="{8A7F3190-BF9E-4544-9E50-D7FE01627A2F}"/>
    <hyperlink ref="B9" r:id="rId13" display="https://exhibitors.iesna.com/co/motorola-energy" xr:uid="{BEF628B9-41BB-414E-A915-97C7CD849D03}"/>
    <hyperlink ref="C9" r:id="rId14" display="https://s23.a2zinc.net/clients/diversified/isnaesna2026/Public/eventmap.aspx?EventId=123&amp;MapItBoothID=238046&amp;MapItBooth=2923&amp;MapID=212" xr:uid="{7887D257-E5C9-E24B-BF08-BDF827F64103}"/>
    <hyperlink ref="B10" r:id="rId15" display="https://exhibitors.iesna.com/co/neovolta" xr:uid="{C2FFB119-8AF6-8E4A-BD32-C0C596ABB333}"/>
    <hyperlink ref="C10" r:id="rId16" display="https://s23.a2zinc.net/clients/diversified/isnaesna2026/Public/eventmap.aspx?EventId=123&amp;MapItBoothID=265583&amp;MapItBooth=3504&amp;MapID=212" xr:uid="{345ED3C6-643E-6346-A0BF-3EE8B7181DE3}"/>
    <hyperlink ref="B11" r:id="rId17" display="https://exhibitors.iesna.com/co/qualcharge" xr:uid="{FCFCA6F7-D7B3-3342-8B21-9E07D6ACFF49}"/>
    <hyperlink ref="C11" r:id="rId18" display="https://s23.a2zinc.net/clients/diversified/isnaesna2026/Public/eventmap.aspx?EventId=123&amp;MapItBoothID=268383&amp;MapItBooth=3425&amp;MapID=212" xr:uid="{41530022-F63E-0643-B639-3E5F33E911E9}"/>
    <hyperlink ref="B12" r:id="rId19" display="https://exhibitors.iesna.com/co/renewable-energy-solutions" xr:uid="{032CCB2F-AA96-C042-9427-1069EE2715C3}"/>
    <hyperlink ref="C12" r:id="rId20" display="https://s23.a2zinc.net/clients/diversified/isnaesna2026/Public/eventmap.aspx?EventId=123&amp;MapItBoothID=268275&amp;MapItBooth=3425&amp;MapID=212" xr:uid="{A86416A9-4A86-B24C-B5B5-5DFC4065E0AD}"/>
    <hyperlink ref="B13" r:id="rId21" display="https://exhibitors.iesna.com/co/roof-tech-inc" xr:uid="{264C79FE-E733-0E43-AFC5-7F26AD186618}"/>
    <hyperlink ref="C13" r:id="rId22" display="https://s23.a2zinc.net/clients/diversified/isnaesna2026/Public/eventmap.aspx?EventId=123&amp;MapItBoothID=238634&amp;MapItBooth=4240&amp;MapID=212" xr:uid="{33B54EBD-1B97-7043-A962-A01F61D67631}"/>
    <hyperlink ref="B14" r:id="rId23" display="https://exhibitors.iesna.com/co/summit-energy-structures-inc" xr:uid="{5D12C85E-7FFB-5443-BCDF-673E09A32C61}"/>
    <hyperlink ref="C14" r:id="rId24" display="https://s23.a2zinc.net/clients/diversified/isnaesna2026/Public/eventmap.aspx?EventId=123&amp;MapItBoothID=260111&amp;MapItBooth=2021&amp;MapID=212" xr:uid="{F0660272-184E-2044-AEFD-7845A4EA8AEA}"/>
    <hyperlink ref="B15" r:id="rId25" display="https://exhibitors.iesna.com/co/unigrid-battery" xr:uid="{457D144D-8D86-684A-93F3-7AB272B5F05A}"/>
    <hyperlink ref="C15" r:id="rId26" display="https://s23.a2zinc.net/clients/diversified/isnaesna2026/Public/eventmap.aspx?EventId=123&amp;MapItBoothID=236041&amp;MapItBooth=3751&amp;MapID=212" xr:uid="{875230E3-0273-DE43-AD5C-272754C57441}"/>
    <hyperlink ref="B16" r:id="rId27" display="https://exhibitors.iesna.com/co/wattchop" xr:uid="{BB596BA5-1BED-5A4C-8076-8505244E1996}"/>
    <hyperlink ref="C16" r:id="rId28" display="https://s23.a2zinc.net/clients/diversified/isnaesna2026/Public/eventmap.aspx?EventId=123&amp;MapItBoothID=267912&amp;MapItBooth=4606&amp;MapID=212" xr:uid="{E363EA21-5A9D-5244-9438-2B18F27B77D2}"/>
    <hyperlink ref="B17" r:id="rId29" display="https://exhibitors.iesna.com/co/xendee" xr:uid="{BE5898F7-B49D-7D43-BEBC-8663AD11736E}"/>
    <hyperlink ref="C17" r:id="rId30" display="https://s23.a2zinc.net/clients/diversified/isnaesna2026/Public/eventmap.aspx?EventId=123&amp;MapItBoothID=235048&amp;MapItBooth=3442&amp;MapID=212" xr:uid="{1FCC80F0-A697-594A-9B1F-1F17064033CE}"/>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3C592-BAF4-9341-BE3B-1B6AFBC5A72E}">
  <dimension ref="A1:P85"/>
  <sheetViews>
    <sheetView topLeftCell="A76" zoomScale="107" workbookViewId="0">
      <selection activeCell="P84" sqref="P84"/>
    </sheetView>
  </sheetViews>
  <sheetFormatPr baseColWidth="10" defaultRowHeight="16"/>
  <sheetData>
    <row r="1" spans="1:16">
      <c r="A1" t="s">
        <v>91</v>
      </c>
      <c r="D1" t="s">
        <v>92</v>
      </c>
    </row>
    <row r="3" spans="1:16">
      <c r="A3" t="s">
        <v>93</v>
      </c>
    </row>
    <row r="6" spans="1:16" ht="45">
      <c r="A6" s="10" t="s">
        <v>94</v>
      </c>
      <c r="K6" s="10" t="s">
        <v>161</v>
      </c>
    </row>
    <row r="7" spans="1:16">
      <c r="A7" s="12" t="s">
        <v>95</v>
      </c>
      <c r="C7" t="s">
        <v>217</v>
      </c>
      <c r="D7" t="s">
        <v>216</v>
      </c>
      <c r="K7" s="12" t="s">
        <v>162</v>
      </c>
      <c r="N7" t="s">
        <v>240</v>
      </c>
      <c r="O7" t="s">
        <v>241</v>
      </c>
      <c r="P7" t="s">
        <v>242</v>
      </c>
    </row>
    <row r="8" spans="1:16">
      <c r="A8" s="12" t="s">
        <v>96</v>
      </c>
      <c r="D8" t="s">
        <v>218</v>
      </c>
      <c r="E8" s="9" t="s">
        <v>284</v>
      </c>
      <c r="K8" s="12" t="s">
        <v>163</v>
      </c>
    </row>
    <row r="9" spans="1:16">
      <c r="A9" s="12" t="s">
        <v>97</v>
      </c>
      <c r="K9" s="12" t="s">
        <v>164</v>
      </c>
      <c r="N9" t="s">
        <v>218</v>
      </c>
      <c r="O9" t="s">
        <v>302</v>
      </c>
    </row>
    <row r="10" spans="1:16">
      <c r="A10" s="12" t="s">
        <v>98</v>
      </c>
      <c r="K10" s="12" t="s">
        <v>165</v>
      </c>
      <c r="N10" t="s">
        <v>218</v>
      </c>
      <c r="O10" s="6" t="s">
        <v>304</v>
      </c>
      <c r="P10" s="12" t="s">
        <v>303</v>
      </c>
    </row>
    <row r="11" spans="1:16">
      <c r="A11" s="12" t="s">
        <v>99</v>
      </c>
      <c r="D11" t="s">
        <v>218</v>
      </c>
      <c r="E11" t="s">
        <v>219</v>
      </c>
      <c r="K11" s="12" t="s">
        <v>166</v>
      </c>
      <c r="N11" t="s">
        <v>218</v>
      </c>
      <c r="O11" t="s">
        <v>305</v>
      </c>
    </row>
    <row r="12" spans="1:16">
      <c r="A12" s="12" t="s">
        <v>100</v>
      </c>
      <c r="K12" s="12" t="s">
        <v>167</v>
      </c>
      <c r="N12" t="s">
        <v>218</v>
      </c>
      <c r="O12" t="s">
        <v>306</v>
      </c>
    </row>
    <row r="13" spans="1:16">
      <c r="A13" s="12" t="s">
        <v>101</v>
      </c>
      <c r="D13" t="s">
        <v>218</v>
      </c>
      <c r="K13" s="12" t="s">
        <v>168</v>
      </c>
      <c r="N13" t="s">
        <v>217</v>
      </c>
      <c r="O13" t="s">
        <v>306</v>
      </c>
    </row>
    <row r="14" spans="1:16">
      <c r="A14" s="12" t="s">
        <v>102</v>
      </c>
      <c r="K14" s="12" t="s">
        <v>169</v>
      </c>
      <c r="N14" t="s">
        <v>218</v>
      </c>
      <c r="O14" t="s">
        <v>306</v>
      </c>
    </row>
    <row r="15" spans="1:16">
      <c r="A15" s="12" t="s">
        <v>103</v>
      </c>
      <c r="D15" t="s">
        <v>220</v>
      </c>
      <c r="E15" t="s">
        <v>221</v>
      </c>
      <c r="K15" s="12" t="s">
        <v>170</v>
      </c>
      <c r="N15" t="s">
        <v>218</v>
      </c>
      <c r="O15" t="s">
        <v>307</v>
      </c>
    </row>
    <row r="16" spans="1:16">
      <c r="A16" s="12" t="s">
        <v>104</v>
      </c>
      <c r="D16" t="s">
        <v>222</v>
      </c>
      <c r="E16" s="9" t="s">
        <v>223</v>
      </c>
      <c r="K16" s="12" t="s">
        <v>171</v>
      </c>
    </row>
    <row r="17" spans="1:15">
      <c r="A17" s="12" t="s">
        <v>105</v>
      </c>
      <c r="D17" t="s">
        <v>225</v>
      </c>
      <c r="E17" t="s">
        <v>226</v>
      </c>
      <c r="K17" s="12" t="s">
        <v>172</v>
      </c>
    </row>
    <row r="18" spans="1:15">
      <c r="A18" s="12" t="s">
        <v>106</v>
      </c>
      <c r="D18" t="s">
        <v>224</v>
      </c>
      <c r="K18" s="12" t="s">
        <v>173</v>
      </c>
      <c r="N18" t="s">
        <v>218</v>
      </c>
      <c r="O18" t="s">
        <v>306</v>
      </c>
    </row>
    <row r="19" spans="1:15">
      <c r="A19" s="12" t="s">
        <v>107</v>
      </c>
      <c r="D19" t="s">
        <v>218</v>
      </c>
      <c r="E19" t="s">
        <v>227</v>
      </c>
      <c r="K19" s="12" t="s">
        <v>174</v>
      </c>
      <c r="N19" t="s">
        <v>217</v>
      </c>
      <c r="O19" t="s">
        <v>308</v>
      </c>
    </row>
    <row r="20" spans="1:15">
      <c r="A20" s="12" t="s">
        <v>108</v>
      </c>
      <c r="K20" s="12" t="s">
        <v>175</v>
      </c>
      <c r="N20" t="s">
        <v>217</v>
      </c>
      <c r="O20" t="s">
        <v>309</v>
      </c>
    </row>
    <row r="21" spans="1:15">
      <c r="A21" s="12" t="s">
        <v>109</v>
      </c>
      <c r="D21" t="s">
        <v>218</v>
      </c>
      <c r="E21" s="9" t="s">
        <v>228</v>
      </c>
      <c r="K21" s="12" t="s">
        <v>176</v>
      </c>
      <c r="N21" t="s">
        <v>218</v>
      </c>
      <c r="O21" t="s">
        <v>306</v>
      </c>
    </row>
    <row r="22" spans="1:15">
      <c r="A22" s="12" t="s">
        <v>110</v>
      </c>
      <c r="D22" t="s">
        <v>229</v>
      </c>
      <c r="E22" s="9" t="s">
        <v>230</v>
      </c>
      <c r="K22" s="12" t="s">
        <v>177</v>
      </c>
      <c r="N22" t="s">
        <v>218</v>
      </c>
      <c r="O22" s="6" t="s">
        <v>310</v>
      </c>
    </row>
    <row r="23" spans="1:15">
      <c r="A23" s="12" t="s">
        <v>111</v>
      </c>
      <c r="D23" t="s">
        <v>218</v>
      </c>
      <c r="E23" s="9" t="s">
        <v>231</v>
      </c>
      <c r="F23" t="s">
        <v>232</v>
      </c>
      <c r="K23" s="12" t="s">
        <v>178</v>
      </c>
      <c r="N23" t="s">
        <v>218</v>
      </c>
      <c r="O23" t="s">
        <v>311</v>
      </c>
    </row>
    <row r="24" spans="1:15" ht="18">
      <c r="A24" s="12" t="s">
        <v>112</v>
      </c>
      <c r="D24" t="s">
        <v>218</v>
      </c>
      <c r="E24" t="s">
        <v>233</v>
      </c>
      <c r="K24" s="11" t="s">
        <v>179</v>
      </c>
    </row>
    <row r="25" spans="1:15" ht="18">
      <c r="A25" s="11" t="s">
        <v>113</v>
      </c>
      <c r="D25" t="s">
        <v>234</v>
      </c>
      <c r="E25" s="9" t="s">
        <v>235</v>
      </c>
      <c r="K25" s="11" t="s">
        <v>180</v>
      </c>
      <c r="N25" t="s">
        <v>218</v>
      </c>
      <c r="O25" t="s">
        <v>312</v>
      </c>
    </row>
    <row r="26" spans="1:15">
      <c r="A26" s="12" t="s">
        <v>114</v>
      </c>
      <c r="K26" s="12" t="s">
        <v>181</v>
      </c>
    </row>
    <row r="27" spans="1:15">
      <c r="A27" s="12" t="s">
        <v>115</v>
      </c>
      <c r="D27" t="s">
        <v>218</v>
      </c>
      <c r="E27" s="9" t="s">
        <v>239</v>
      </c>
      <c r="K27" s="12" t="s">
        <v>182</v>
      </c>
      <c r="N27" t="s">
        <v>218</v>
      </c>
      <c r="O27" t="s">
        <v>312</v>
      </c>
    </row>
    <row r="28" spans="1:15">
      <c r="A28" s="12" t="s">
        <v>116</v>
      </c>
      <c r="K28" s="12" t="s">
        <v>183</v>
      </c>
      <c r="N28" t="s">
        <v>218</v>
      </c>
      <c r="O28" t="s">
        <v>313</v>
      </c>
    </row>
    <row r="29" spans="1:15">
      <c r="A29" s="12" t="s">
        <v>117</v>
      </c>
      <c r="D29" t="s">
        <v>243</v>
      </c>
      <c r="E29" t="s">
        <v>244</v>
      </c>
      <c r="K29" s="12" t="s">
        <v>184</v>
      </c>
      <c r="N29" t="s">
        <v>218</v>
      </c>
      <c r="O29" t="s">
        <v>313</v>
      </c>
    </row>
    <row r="30" spans="1:15">
      <c r="A30" s="12" t="s">
        <v>118</v>
      </c>
    </row>
    <row r="31" spans="1:15">
      <c r="A31" s="12" t="s">
        <v>119</v>
      </c>
      <c r="D31" t="s">
        <v>218</v>
      </c>
      <c r="E31" t="s">
        <v>245</v>
      </c>
    </row>
    <row r="32" spans="1:15">
      <c r="A32" s="12" t="s">
        <v>120</v>
      </c>
      <c r="D32" t="s">
        <v>218</v>
      </c>
      <c r="E32" s="9" t="s">
        <v>246</v>
      </c>
    </row>
    <row r="33" spans="1:8">
      <c r="A33" s="12" t="s">
        <v>121</v>
      </c>
      <c r="D33" t="s">
        <v>217</v>
      </c>
      <c r="E33" s="9" t="s">
        <v>247</v>
      </c>
    </row>
    <row r="34" spans="1:8">
      <c r="A34" s="12" t="s">
        <v>122</v>
      </c>
      <c r="D34" t="s">
        <v>218</v>
      </c>
      <c r="E34" t="s">
        <v>248</v>
      </c>
    </row>
    <row r="35" spans="1:8">
      <c r="A35" s="12" t="s">
        <v>123</v>
      </c>
      <c r="D35" t="s">
        <v>218</v>
      </c>
      <c r="E35" t="s">
        <v>249</v>
      </c>
    </row>
    <row r="36" spans="1:8">
      <c r="A36" s="12" t="s">
        <v>124</v>
      </c>
      <c r="D36" t="s">
        <v>217</v>
      </c>
    </row>
    <row r="37" spans="1:8">
      <c r="A37" s="12" t="s">
        <v>125</v>
      </c>
      <c r="D37" t="s">
        <v>250</v>
      </c>
      <c r="E37" s="9" t="s">
        <v>251</v>
      </c>
    </row>
    <row r="38" spans="1:8">
      <c r="A38" s="12" t="s">
        <v>126</v>
      </c>
      <c r="D38" t="s">
        <v>220</v>
      </c>
      <c r="E38" t="s">
        <v>252</v>
      </c>
    </row>
    <row r="39" spans="1:8">
      <c r="A39" s="12" t="s">
        <v>127</v>
      </c>
      <c r="D39" t="s">
        <v>253</v>
      </c>
      <c r="E39" t="s">
        <v>254</v>
      </c>
    </row>
    <row r="40" spans="1:8">
      <c r="A40" s="12" t="s">
        <v>128</v>
      </c>
      <c r="D40" t="s">
        <v>253</v>
      </c>
      <c r="E40" t="s">
        <v>255</v>
      </c>
    </row>
    <row r="41" spans="1:8">
      <c r="A41" s="12" t="s">
        <v>129</v>
      </c>
    </row>
    <row r="42" spans="1:8">
      <c r="A42" s="12" t="s">
        <v>130</v>
      </c>
      <c r="D42" t="s">
        <v>256</v>
      </c>
      <c r="E42" s="9" t="s">
        <v>257</v>
      </c>
      <c r="G42" t="s">
        <v>258</v>
      </c>
      <c r="H42" t="s">
        <v>259</v>
      </c>
    </row>
    <row r="43" spans="1:8">
      <c r="A43" s="12" t="s">
        <v>131</v>
      </c>
      <c r="D43" t="s">
        <v>218</v>
      </c>
      <c r="E43" s="9" t="s">
        <v>260</v>
      </c>
    </row>
    <row r="44" spans="1:8">
      <c r="A44" s="12" t="s">
        <v>132</v>
      </c>
    </row>
    <row r="45" spans="1:8" ht="18">
      <c r="A45" s="11" t="s">
        <v>133</v>
      </c>
    </row>
    <row r="46" spans="1:8" ht="18">
      <c r="A46" s="11" t="s">
        <v>134</v>
      </c>
    </row>
    <row r="47" spans="1:8">
      <c r="A47" s="12" t="s">
        <v>135</v>
      </c>
    </row>
    <row r="48" spans="1:8">
      <c r="A48" s="12" t="s">
        <v>136</v>
      </c>
      <c r="D48" t="s">
        <v>218</v>
      </c>
      <c r="E48" s="9" t="s">
        <v>261</v>
      </c>
      <c r="F48" t="s">
        <v>262</v>
      </c>
    </row>
    <row r="49" spans="1:10">
      <c r="A49" s="12" t="s">
        <v>137</v>
      </c>
      <c r="D49" t="s">
        <v>218</v>
      </c>
      <c r="E49" t="s">
        <v>263</v>
      </c>
    </row>
    <row r="50" spans="1:10">
      <c r="A50" s="12" t="s">
        <v>138</v>
      </c>
      <c r="D50" t="s">
        <v>218</v>
      </c>
      <c r="E50" s="9" t="s">
        <v>264</v>
      </c>
      <c r="F50" t="s">
        <v>265</v>
      </c>
      <c r="H50" t="s">
        <v>266</v>
      </c>
    </row>
    <row r="51" spans="1:10">
      <c r="A51" s="12" t="s">
        <v>139</v>
      </c>
    </row>
    <row r="52" spans="1:10">
      <c r="A52" s="12" t="s">
        <v>140</v>
      </c>
      <c r="D52" t="s">
        <v>217</v>
      </c>
      <c r="E52" t="s">
        <v>271</v>
      </c>
    </row>
    <row r="53" spans="1:10">
      <c r="A53" s="12" t="s">
        <v>141</v>
      </c>
      <c r="D53" t="s">
        <v>231</v>
      </c>
      <c r="F53" t="s">
        <v>272</v>
      </c>
    </row>
    <row r="54" spans="1:10">
      <c r="A54" s="12" t="s">
        <v>142</v>
      </c>
      <c r="D54" t="s">
        <v>218</v>
      </c>
      <c r="E54" t="s">
        <v>273</v>
      </c>
    </row>
    <row r="55" spans="1:10">
      <c r="A55" s="12" t="s">
        <v>143</v>
      </c>
      <c r="D55" t="s">
        <v>217</v>
      </c>
    </row>
    <row r="56" spans="1:10">
      <c r="A56" s="12" t="s">
        <v>144</v>
      </c>
      <c r="D56" t="s">
        <v>274</v>
      </c>
      <c r="E56" t="s">
        <v>275</v>
      </c>
    </row>
    <row r="57" spans="1:10">
      <c r="A57" s="12" t="s">
        <v>145</v>
      </c>
      <c r="D57" t="s">
        <v>256</v>
      </c>
      <c r="E57" s="9" t="s">
        <v>276</v>
      </c>
      <c r="G57" t="s">
        <v>277</v>
      </c>
      <c r="H57" t="s">
        <v>278</v>
      </c>
    </row>
    <row r="58" spans="1:10" ht="18">
      <c r="A58" s="11" t="s">
        <v>146</v>
      </c>
      <c r="D58" t="s">
        <v>218</v>
      </c>
      <c r="E58" s="9" t="s">
        <v>279</v>
      </c>
      <c r="F58" t="s">
        <v>280</v>
      </c>
      <c r="G58" t="s">
        <v>281</v>
      </c>
      <c r="H58" t="s">
        <v>282</v>
      </c>
      <c r="I58" t="s">
        <v>283</v>
      </c>
      <c r="J58" s="19" t="s">
        <v>285</v>
      </c>
    </row>
    <row r="59" spans="1:10">
      <c r="A59" s="12" t="s">
        <v>147</v>
      </c>
      <c r="D59" t="s">
        <v>217</v>
      </c>
      <c r="E59" t="s">
        <v>290</v>
      </c>
    </row>
    <row r="60" spans="1:10" ht="18">
      <c r="A60" s="11" t="s">
        <v>148</v>
      </c>
      <c r="D60" t="s">
        <v>218</v>
      </c>
    </row>
    <row r="61" spans="1:10" ht="18">
      <c r="A61" s="11" t="s">
        <v>60</v>
      </c>
      <c r="D61" t="s">
        <v>218</v>
      </c>
      <c r="E61" s="6" t="s">
        <v>291</v>
      </c>
    </row>
    <row r="62" spans="1:10">
      <c r="A62" s="12" t="s">
        <v>149</v>
      </c>
      <c r="D62" t="s">
        <v>292</v>
      </c>
      <c r="E62" t="s">
        <v>293</v>
      </c>
    </row>
    <row r="63" spans="1:10">
      <c r="A63" s="12" t="s">
        <v>150</v>
      </c>
    </row>
    <row r="64" spans="1:10">
      <c r="A64" s="12" t="s">
        <v>151</v>
      </c>
      <c r="D64" t="s">
        <v>218</v>
      </c>
      <c r="E64" s="9" t="s">
        <v>294</v>
      </c>
    </row>
    <row r="65" spans="1:8">
      <c r="A65" s="12" t="s">
        <v>152</v>
      </c>
      <c r="D65" t="s">
        <v>218</v>
      </c>
      <c r="E65" s="9" t="s">
        <v>295</v>
      </c>
    </row>
    <row r="66" spans="1:8">
      <c r="A66" s="12" t="s">
        <v>153</v>
      </c>
      <c r="D66" t="s">
        <v>218</v>
      </c>
      <c r="E66" s="9" t="s">
        <v>296</v>
      </c>
    </row>
    <row r="67" spans="1:8">
      <c r="A67" s="12" t="s">
        <v>154</v>
      </c>
      <c r="D67" t="s">
        <v>218</v>
      </c>
      <c r="E67" t="s">
        <v>297</v>
      </c>
    </row>
    <row r="68" spans="1:8">
      <c r="A68" s="12" t="s">
        <v>155</v>
      </c>
      <c r="D68" t="s">
        <v>218</v>
      </c>
      <c r="E68" s="6" t="s">
        <v>298</v>
      </c>
    </row>
    <row r="69" spans="1:8">
      <c r="A69" s="12" t="s">
        <v>156</v>
      </c>
      <c r="D69" t="s">
        <v>218</v>
      </c>
      <c r="E69" t="s">
        <v>299</v>
      </c>
    </row>
    <row r="70" spans="1:8">
      <c r="A70" s="12" t="s">
        <v>157</v>
      </c>
      <c r="D70" t="s">
        <v>287</v>
      </c>
      <c r="E70" s="9" t="s">
        <v>300</v>
      </c>
    </row>
    <row r="71" spans="1:8">
      <c r="A71" s="12" t="s">
        <v>158</v>
      </c>
      <c r="D71" t="s">
        <v>218</v>
      </c>
      <c r="E71" t="s">
        <v>301</v>
      </c>
    </row>
    <row r="72" spans="1:8">
      <c r="A72" s="12" t="s">
        <v>159</v>
      </c>
      <c r="D72" t="s">
        <v>217</v>
      </c>
    </row>
    <row r="73" spans="1:8">
      <c r="A73" s="12" t="s">
        <v>160</v>
      </c>
    </row>
    <row r="75" spans="1:8">
      <c r="A75" t="s">
        <v>286</v>
      </c>
      <c r="D75" t="s">
        <v>287</v>
      </c>
      <c r="E75" s="9" t="s">
        <v>288</v>
      </c>
      <c r="F75" t="s">
        <v>289</v>
      </c>
    </row>
    <row r="77" spans="1:8" ht="45">
      <c r="A77" s="10" t="s">
        <v>185</v>
      </c>
      <c r="F77" s="10" t="s">
        <v>194</v>
      </c>
    </row>
    <row r="78" spans="1:8">
      <c r="A78" s="12" t="s">
        <v>186</v>
      </c>
      <c r="F78" s="12" t="s">
        <v>195</v>
      </c>
      <c r="H78" t="s">
        <v>218</v>
      </c>
    </row>
    <row r="79" spans="1:8">
      <c r="A79" s="12" t="s">
        <v>187</v>
      </c>
      <c r="F79" s="12" t="s">
        <v>196</v>
      </c>
    </row>
    <row r="80" spans="1:8">
      <c r="A80" s="12" t="s">
        <v>188</v>
      </c>
    </row>
    <row r="81" spans="1:5">
      <c r="A81" s="12" t="s">
        <v>189</v>
      </c>
    </row>
    <row r="82" spans="1:5">
      <c r="A82" s="12" t="s">
        <v>190</v>
      </c>
      <c r="D82" t="s">
        <v>218</v>
      </c>
    </row>
    <row r="83" spans="1:5">
      <c r="A83" s="12" t="s">
        <v>191</v>
      </c>
    </row>
    <row r="84" spans="1:5">
      <c r="A84" s="12" t="s">
        <v>192</v>
      </c>
      <c r="D84" t="s">
        <v>218</v>
      </c>
      <c r="E84" t="s">
        <v>314</v>
      </c>
    </row>
    <row r="85" spans="1:5" ht="18">
      <c r="A85" s="11" t="s">
        <v>193</v>
      </c>
    </row>
  </sheetData>
  <hyperlinks>
    <hyperlink ref="A7" r:id="rId1" display="https://4thstateenergies.com/" xr:uid="{0FD14620-C7E9-954D-8C2B-22C23F6F9CA4}"/>
    <hyperlink ref="A8" r:id="rId2" display="https://www.aes.com/" xr:uid="{8ECA7A9B-1A77-854A-88AE-4C6FDF30181E}"/>
    <hyperlink ref="A9" r:id="rId3" display="https://www.aggreko.com/en-us" xr:uid="{A6353AF4-B828-1E43-9E71-C6AE6472EED8}"/>
    <hyperlink ref="A10" r:id="rId4" display="https://alderbuckenergy.com/" xr:uid="{CF4748AF-0B4E-124B-B1AC-1D38848AA961}"/>
    <hyperlink ref="A11" r:id="rId5" display="https://www.americanlithiumenergy.com/" xr:uid="{15C758D2-593D-A74F-A4B0-318923C7911B}"/>
    <hyperlink ref="A12" r:id="rId6" display="https://www.aquaporo.com/" xr:uid="{05690393-C15F-A34D-9312-541F884E7F27}"/>
    <hyperlink ref="A13" r:id="rId7" display="http://www.arcadis.com/" xr:uid="{E7A2C80F-5A9E-7F4D-8393-41E6BC0D16C4}"/>
    <hyperlink ref="A14" r:id="rId8" display="https://arevonenergy.com/" xr:uid="{32B39130-AA42-BB4E-BDA0-88CEA9B279E4}"/>
    <hyperlink ref="A15" r:id="rId9" display="https://www.bakerhomeenergy.com/" xr:uid="{3A1FA785-C350-9847-AD00-A51E96C3E02E}"/>
    <hyperlink ref="A16" r:id="rId10" display="https://www.benchmarklabs.com/" xr:uid="{8C8F53B5-9A14-3F40-8A7B-344AEB2BF4B4}"/>
    <hyperlink ref="A17:A18" r:id="rId11" display="http://www.calpinesolutions.com/" xr:uid="{8B0E9A99-78B9-A942-95AC-D7798164E40B}"/>
    <hyperlink ref="A19" r:id="rId12" display="https://www.carbon-blade.com/" xr:uid="{6DCDC37B-2FE7-F746-835A-1276EF2281BD}"/>
    <hyperlink ref="A20" r:id="rId13" display="https://www.cancoverit.com/" xr:uid="{F65B18D8-FDD7-5B4E-9E78-1CEE7D588B1F}"/>
    <hyperlink ref="A21" r:id="rId14" display="https://changeaerial.com/" xr:uid="{C2C88794-247B-514A-868F-FF7EA2D93310}"/>
    <hyperlink ref="A22" r:id="rId15" display="https://chargenetstations.com/" xr:uid="{CCDE76FA-BB50-5F47-99FB-B4BCFFD42686}"/>
    <hyperlink ref="A23" r:id="rId16" display="https://thecleanenergyalliance.org/" xr:uid="{FBA1D587-6AF4-1F4F-BD50-F6E22C394158}"/>
    <hyperlink ref="A24" r:id="rId17" display="https://www.collectivesun.com/" xr:uid="{0DFB0699-02F1-A943-A125-DE5C98E34F17}"/>
    <hyperlink ref="A26" r:id="rId18" display="https://www.cthermal.com/" xr:uid="{1792775F-3268-324B-8837-192FF1E3ECB1}"/>
    <hyperlink ref="A27" r:id="rId19" display="https://cordiaenergy.com/" xr:uid="{C6BF02C9-D8C9-4F48-BBCA-17F83DC5BAED}"/>
    <hyperlink ref="A28" r:id="rId20" display="https://emissionfreegenerators.com/" xr:uid="{807E5311-BD63-9C42-B35D-EE5851EF6417}"/>
    <hyperlink ref="A29" r:id="rId21" display="https://enersion.com/" xr:uid="{BA2E4C7B-5FAE-4640-9556-7ADE1A586E0F}"/>
    <hyperlink ref="A30" r:id="rId22" display="https://www.enersmartstorage.com/" xr:uid="{B9E02716-C372-BC44-9080-58010F6208D8}"/>
    <hyperlink ref="A31" r:id="rId23" display="https://eversun.co/" xr:uid="{45B7E470-9613-7D4C-8DE6-8C16C2580362}"/>
    <hyperlink ref="A32" r:id="rId24" display="https://www.exposttechnology.com/home" xr:uid="{401D8FE9-63E6-F449-B296-1BD7C6AD5027}"/>
    <hyperlink ref="A33" r:id="rId25" display="https://fullmarkenergy.com/" xr:uid="{B45349E4-E009-384D-9E9A-142528B773B9}"/>
    <hyperlink ref="A34" r:id="rId26" display="https://www.geandr.com/" xr:uid="{086D8993-64C7-BC44-8D07-B21F10B53188}"/>
    <hyperlink ref="A35" r:id="rId27" display="https://aldtechnicalsolutions.com/" xr:uid="{B150E55E-479E-1646-8C10-EEC58739308F}"/>
    <hyperlink ref="A36" r:id="rId28" display="https://www.harvest-thermal.com/" xr:uid="{50075D9A-0A34-504A-8A5A-6C07DB6B6561}"/>
    <hyperlink ref="A37" r:id="rId29" display="https://www.heliovolta.com/" xr:uid="{BD88410C-51A9-CD4D-8DB5-48192BCA1CBF}"/>
    <hyperlink ref="A38" r:id="rId30" display="https://hnointernational.com/" xr:uid="{AED2C643-F667-6246-8BA5-1D69EE07A4CF}"/>
    <hyperlink ref="A39" r:id="rId31" display="http://www.igrenenergi.com/" xr:uid="{FF701799-4EA7-3D4A-88D2-5323023EFEAF}"/>
    <hyperlink ref="A40" r:id="rId32" display="http://ikesmartcity.com/" xr:uid="{1E27FFDB-7C67-8B43-B0C4-420973475681}"/>
    <hyperlink ref="A41" r:id="rId33" display="https://innovasionlabspinc.com/" xr:uid="{6518A4F7-47CC-9A46-A305-9E0CD0E96781}"/>
    <hyperlink ref="A42" r:id="rId34" display="https://www.ivy.energy/" xr:uid="{B77FB7B3-3312-7040-BF2D-B575BD7BFDC1}"/>
    <hyperlink ref="A43" r:id="rId35" display="https://www.looq.ai/" xr:uid="{A989C2C8-27A9-0F44-B6A7-E319B84C366B}"/>
    <hyperlink ref="A44" r:id="rId36" display="https://www.lspower.com/" xr:uid="{DC971516-7F53-4C43-9D7F-DD393A5875C7}"/>
    <hyperlink ref="A47" r:id="rId37" display="https://www.getneocharge.com/" xr:uid="{52C4F4B0-D060-8D41-8B77-88AB800E04DB}"/>
    <hyperlink ref="A48" r:id="rId38" display="http://nuvve.com/" xr:uid="{2E3B1371-AE0E-B641-9E7F-17B92A1028AE}"/>
    <hyperlink ref="A49" r:id="rId39" display="http://www.oberonfuels.com/" xr:uid="{90F67DCA-F579-E841-A495-129D777558AD}"/>
    <hyperlink ref="A50" r:id="rId40" display="https://www.oceanmotion.tech/" xr:uid="{96A6E109-9E72-1F40-8B02-276F918C5A24}"/>
    <hyperlink ref="A51" r:id="rId41" display="http://opterraenergy.com/" xr:uid="{DD296D7C-0F07-224B-B427-8AB09B43E83E}"/>
    <hyperlink ref="A52" r:id="rId42" display="https://pairedpower.com/" xr:uid="{5AC6F67D-39B1-9147-9C19-BB2D10966DC5}"/>
    <hyperlink ref="A53" r:id="rId43" display="https://propervoltage.com/" xr:uid="{8B6E9A9E-0AE1-5A42-A4BF-C4400F0C186D}"/>
    <hyperlink ref="A54" r:id="rId44" display="https://www.redoxblox.com/" xr:uid="{B78ABB4C-9901-544B-8676-C24296499FF4}"/>
    <hyperlink ref="A55" r:id="rId45" display="https://www.rejouleenergy.com/" xr:uid="{1ACB5B08-C280-7040-A449-E7E245B9C1FD}"/>
    <hyperlink ref="A56" r:id="rId46" display="https://www.rocketruck.com/" xr:uid="{EE964FE4-3F00-B446-92E8-7D1110211FD5}"/>
    <hyperlink ref="A57" r:id="rId47" display="http://premieralliance.com/" xr:uid="{B0E0DC2A-8709-0F41-9B52-CAC5A5FDAED8}"/>
    <hyperlink ref="A59" r:id="rId48" display="https://www.scalemicrogrids.com/" xr:uid="{6373159C-3BFE-1E4C-B98B-92A1E467BFD1}"/>
    <hyperlink ref="A62" r:id="rId49" display="http://www.solarkal.com/" xr:uid="{21E638B9-97B7-7E4C-96D6-11F6D2AFEAA4}"/>
    <hyperlink ref="A63" r:id="rId50" display="http://sonocharge.com/" xr:uid="{6FBCF500-8125-2B48-BA1B-2D19AA65D677}"/>
    <hyperlink ref="A64" r:id="rId51" display="https://www.south8technologies.com/" xr:uid="{5C36EB20-6984-2041-B6F7-5513A2B9DE98}"/>
    <hyperlink ref="A65" r:id="rId52" display="https://www.sunrun.com/" xr:uid="{181B65B2-2893-054F-822F-5FCCAFAF2A14}"/>
    <hyperlink ref="A66" r:id="rId53" display="https://www.terra-gen.com/" xr:uid="{3A49C490-C2C7-2B49-9397-99AF4B74D600}"/>
    <hyperlink ref="A67" r:id="rId54" display="https://tourengine.com/" xr:uid="{22C18E06-4882-6F45-9DFA-19DF2E1924A4}"/>
    <hyperlink ref="A68" r:id="rId55" display="https://tyfast.energy/" xr:uid="{002EF9BB-9788-4345-A57F-440763DB2C0E}"/>
    <hyperlink ref="A69" r:id="rId56" display="https://www.unigridbattery.com/" xr:uid="{1206A5D5-55A8-6B40-BA53-A59D1BEC65D9}"/>
    <hyperlink ref="A70" r:id="rId57" display="https://www.veckta.com/" xr:uid="{892D3C01-837D-074F-AFE3-5FED0FB1DCB8}"/>
    <hyperlink ref="A71" r:id="rId58" display="https://wattsonwater.com/" xr:uid="{AC80AE2D-AC1A-C346-9440-6CF4249A1CAB}"/>
    <hyperlink ref="A72" r:id="rId59" display="https://www.wellhead.com/" xr:uid="{D5B6C939-AECE-714F-8938-DD51B3086045}"/>
    <hyperlink ref="A73" r:id="rId60" display="https://znrginnovations.com/" xr:uid="{C81E9D15-5F93-004D-9B26-117549D7C8F3}"/>
    <hyperlink ref="K7" r:id="rId61" display="https://33n.energy/" xr:uid="{FA4643D1-E282-6144-B0D7-AC2A7B5AEA91}"/>
    <hyperlink ref="K8" r:id="rId62" display="https://www.mossadams.com/" xr:uid="{B88C0C5B-4A89-6949-9154-D5E1E44C298A}"/>
    <hyperlink ref="K9" r:id="rId63" display="https://www.coffman.com/" xr:uid="{7A4683B5-97D9-C940-8078-D6620F346168}"/>
    <hyperlink ref="K10" r:id="rId64" display="https://www.cohnreznick.com/" xr:uid="{5E96A9F1-EAFC-1B41-9D79-82F82EA55783}"/>
    <hyperlink ref="K11" r:id="rId65" display="https://evolutionaffairs.com/" xr:uid="{63FE3F28-D1FF-6940-83BF-D0FBC10A5E7A}"/>
    <hyperlink ref="K12" r:id="rId66" display="https://www.foley.com/en" xr:uid="{294F3840-E75E-9745-BD82-C36995B06D92}"/>
    <hyperlink ref="K13" r:id="rId67" display="https://www.goodwinlaw.com/" xr:uid="{7A2E66B0-00C3-4F42-9DE7-C21C0A1D42ED}"/>
    <hyperlink ref="K14" r:id="rId68" display="http://lw.com/" xr:uid="{13578630-87A5-A849-81ED-F478FDE0472B}"/>
    <hyperlink ref="K15" r:id="rId69" display="http://www.ljmanzconsulting.com/" xr:uid="{CA404E2F-D317-284B-B3BB-87120FF52B22}"/>
    <hyperlink ref="K16" r:id="rId70" display="https://www.mintz.com/" xr:uid="{28BA3B09-85D5-1E4F-BA42-7CC1A805DC57}"/>
    <hyperlink ref="K17" r:id="rId71" display="https://cleantechsandiego.org/member-directory/" xr:uid="{6A12FAC4-0235-0445-B49B-94DB88ED15C2}"/>
    <hyperlink ref="K18" r:id="rId72" display="https://www.mofo.com/" xr:uid="{4E3D2B3D-0A0D-7A44-9AAD-89DE13617283}"/>
    <hyperlink ref="K19" r:id="rId73" display="https://www.newfront.com/" xr:uid="{70AD72C4-96A6-4040-B5DB-204E1AF266D5}"/>
    <hyperlink ref="K20" r:id="rId74" display="https://www.weoutfit.co/" xr:uid="{096C3F8C-7B58-B04B-A5B5-263BCDCB9616}"/>
    <hyperlink ref="K21" r:id="rId75" display="https://www.perkinscoie.com/en/index.html" xr:uid="{D63D6B4A-ADAE-2C4B-9CC2-1E4D550DD08E}"/>
    <hyperlink ref="K22" r:id="rId76" display="https://beta.policy-pulse.ai/" xr:uid="{49544876-4189-0E44-BE4E-B86084305157}"/>
    <hyperlink ref="K23" r:id="rId77" display="http://www.procopio.com/" xr:uid="{4D4E2785-2A89-EC4E-8D82-94B1C54EEE72}"/>
    <hyperlink ref="K26" r:id="rId78" display="http://www.stoel.com/index.aspx" xr:uid="{9CA17104-327B-1545-972B-05D57ACA5A89}"/>
    <hyperlink ref="K27" r:id="rId79" display="https://www.trellis-strategy.com/" xr:uid="{BAB65443-C862-7843-A87A-DE481CFC306B}"/>
    <hyperlink ref="K28" r:id="rId80" display="https://voitco.com/" xr:uid="{D8FC9809-9D4D-854E-A1AE-2AD5BBF074AB}"/>
    <hyperlink ref="K29" r:id="rId81" display="https://wrightoncomm.com/expertise/energy-cleantech-public-relations/" xr:uid="{E0607237-BCD9-EE42-B443-163E7888F627}"/>
    <hyperlink ref="A78" r:id="rId82" display="https://www.clearcreekinv.com/" xr:uid="{74FA1D59-C6D5-204E-9D02-AD3D9339E250}"/>
    <hyperlink ref="A79" r:id="rId83" display="https://cleantechsandiego.org/member-directory/" xr:uid="{35C3FFC4-E7E5-4740-BB59-6C80C9D97407}"/>
    <hyperlink ref="A80" r:id="rId84" display="https://cleantechsandiego.org/member-directory/" xr:uid="{E811FD2C-3784-424C-9F9C-A1FA505FFC07}"/>
    <hyperlink ref="A81" r:id="rId85" display="https://luminia.io/" xr:uid="{A0C246D6-7962-0248-9F4E-C76BD1B01F39}"/>
    <hyperlink ref="A82" r:id="rId86" display="https://www.marathoncapital.com/" xr:uid="{F4D45207-06E4-784C-86EC-1DD477A7531F}"/>
    <hyperlink ref="A83" r:id="rId87" display="https://www.nadb.org/" xr:uid="{640955CF-6BB0-9242-8FE5-FEE9790C9DB0}"/>
    <hyperlink ref="A84" r:id="rId88" display="https://nufund.com/" xr:uid="{E8373AE7-EEFD-A444-9AF8-D8570FA47B5F}"/>
    <hyperlink ref="F78" r:id="rId89" display="http://www.hgfenton.com/" xr:uid="{3CDC2D2F-52EC-9645-9073-EA63570A727B}"/>
    <hyperlink ref="F79" r:id="rId90" display="https://secgroupco.com/" xr:uid="{DDDB161C-767F-1D4F-BFD5-D5D806227553}"/>
    <hyperlink ref="P10" r:id="rId91" xr:uid="{78B7F333-E58E-6A48-AC10-A9863EA66FA0}"/>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EB1A8-1D2E-2F4D-B523-FDD0A67AE8A8}">
  <dimension ref="A1:G18"/>
  <sheetViews>
    <sheetView topLeftCell="A2" workbookViewId="0">
      <selection activeCell="C23" sqref="C23"/>
    </sheetView>
  </sheetViews>
  <sheetFormatPr baseColWidth="10" defaultRowHeight="16"/>
  <cols>
    <col min="3" max="3" width="52.33203125" customWidth="1"/>
    <col min="6" max="6" width="19" customWidth="1"/>
  </cols>
  <sheetData>
    <row r="1" spans="1:7">
      <c r="A1" t="s">
        <v>267</v>
      </c>
    </row>
    <row r="3" spans="1:7">
      <c r="B3" s="15">
        <v>45684</v>
      </c>
    </row>
    <row r="4" spans="1:7" ht="30">
      <c r="B4" t="s">
        <v>268</v>
      </c>
      <c r="C4" s="16" t="s">
        <v>269</v>
      </c>
      <c r="F4" s="13"/>
      <c r="G4" s="13"/>
    </row>
    <row r="5" spans="1:7" ht="247">
      <c r="C5" s="18" t="s">
        <v>270</v>
      </c>
      <c r="F5" s="14"/>
      <c r="G5" s="14"/>
    </row>
    <row r="6" spans="1:7" ht="20">
      <c r="F6" s="14"/>
      <c r="G6" s="14"/>
    </row>
    <row r="7" spans="1:7" ht="20">
      <c r="B7" s="15">
        <v>46049</v>
      </c>
      <c r="F7" s="14"/>
      <c r="G7" s="14"/>
    </row>
    <row r="8" spans="1:7" ht="30">
      <c r="B8" t="s">
        <v>331</v>
      </c>
      <c r="C8" s="16" t="s">
        <v>329</v>
      </c>
    </row>
    <row r="9" spans="1:7" ht="18">
      <c r="C9" s="17" t="s">
        <v>330</v>
      </c>
    </row>
    <row r="10" spans="1:7">
      <c r="B10" s="15">
        <v>46049</v>
      </c>
    </row>
    <row r="11" spans="1:7" ht="30">
      <c r="B11" t="s">
        <v>334</v>
      </c>
      <c r="C11" s="16" t="s">
        <v>332</v>
      </c>
    </row>
    <row r="12" spans="1:7" ht="18">
      <c r="C12" s="17" t="s">
        <v>333</v>
      </c>
    </row>
    <row r="13" spans="1:7">
      <c r="B13" s="15">
        <v>46050</v>
      </c>
    </row>
    <row r="14" spans="1:7" ht="30">
      <c r="B14" t="s">
        <v>337</v>
      </c>
      <c r="C14" s="16" t="s">
        <v>335</v>
      </c>
    </row>
    <row r="15" spans="1:7" ht="18">
      <c r="C15" s="17" t="s">
        <v>336</v>
      </c>
    </row>
    <row r="16" spans="1:7">
      <c r="B16" s="15">
        <v>46050</v>
      </c>
    </row>
    <row r="17" spans="2:3" ht="30">
      <c r="B17" t="s">
        <v>340</v>
      </c>
      <c r="C17" s="16" t="s">
        <v>338</v>
      </c>
    </row>
    <row r="18" spans="2:3" ht="18">
      <c r="C18" s="17" t="s">
        <v>339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2263D-F567-3D45-8EC8-3AEF658F89A7}">
  <dimension ref="A1:N95"/>
  <sheetViews>
    <sheetView topLeftCell="A14" workbookViewId="0">
      <selection activeCell="N28" sqref="N28"/>
    </sheetView>
  </sheetViews>
  <sheetFormatPr baseColWidth="10" defaultRowHeight="16"/>
  <sheetData>
    <row r="1" spans="1:7" ht="18">
      <c r="A1" s="12" t="s">
        <v>389</v>
      </c>
      <c r="B1" s="20" t="s">
        <v>352</v>
      </c>
      <c r="E1" s="12"/>
      <c r="F1" s="20"/>
      <c r="G1" s="20"/>
    </row>
    <row r="2" spans="1:7" ht="18">
      <c r="A2" s="12"/>
      <c r="B2" s="20"/>
      <c r="E2" s="12" t="s">
        <v>389</v>
      </c>
      <c r="F2" s="20" t="s">
        <v>392</v>
      </c>
      <c r="G2" s="20"/>
    </row>
    <row r="3" spans="1:7" ht="18">
      <c r="A3" s="12"/>
      <c r="B3" s="20"/>
      <c r="E3" s="12"/>
      <c r="F3" s="20"/>
      <c r="G3" s="20"/>
    </row>
    <row r="4" spans="1:7" ht="18">
      <c r="A4" s="12"/>
      <c r="B4" s="20"/>
      <c r="E4" s="12"/>
      <c r="F4" s="20"/>
      <c r="G4" s="20"/>
    </row>
    <row r="5" spans="1:7" ht="18">
      <c r="A5" s="12" t="s">
        <v>379</v>
      </c>
      <c r="B5" s="20" t="s">
        <v>352</v>
      </c>
      <c r="E5" s="12"/>
      <c r="F5" s="20"/>
      <c r="G5" s="20"/>
    </row>
    <row r="6" spans="1:7" ht="18">
      <c r="A6" s="12"/>
      <c r="B6" s="20"/>
      <c r="E6" s="12"/>
      <c r="F6" s="20"/>
      <c r="G6" s="20"/>
    </row>
    <row r="7" spans="1:7" ht="18">
      <c r="A7" s="12"/>
      <c r="B7" s="20"/>
      <c r="E7" s="12"/>
      <c r="F7" s="20"/>
      <c r="G7" s="20"/>
    </row>
    <row r="8" spans="1:7" ht="18">
      <c r="A8" s="12"/>
      <c r="B8" s="20"/>
      <c r="E8" s="12"/>
      <c r="F8" s="20"/>
      <c r="G8" s="20"/>
    </row>
    <row r="9" spans="1:7" ht="18">
      <c r="A9" s="12" t="s">
        <v>361</v>
      </c>
      <c r="B9" s="20" t="s">
        <v>352</v>
      </c>
      <c r="E9" s="12"/>
      <c r="F9" s="20"/>
      <c r="G9" s="20"/>
    </row>
    <row r="10" spans="1:7" ht="18">
      <c r="A10" s="12" t="s">
        <v>388</v>
      </c>
      <c r="B10" s="20" t="s">
        <v>352</v>
      </c>
      <c r="E10" s="12"/>
      <c r="F10" s="20"/>
      <c r="G10" s="20"/>
    </row>
    <row r="11" spans="1:7" ht="18">
      <c r="A11" s="12"/>
      <c r="B11" s="20"/>
      <c r="E11" s="12" t="s">
        <v>424</v>
      </c>
      <c r="F11" s="20" t="s">
        <v>392</v>
      </c>
      <c r="G11" s="20"/>
    </row>
    <row r="12" spans="1:7" ht="18">
      <c r="A12" s="12" t="s">
        <v>374</v>
      </c>
      <c r="B12" s="20" t="s">
        <v>358</v>
      </c>
      <c r="E12" s="12" t="s">
        <v>379</v>
      </c>
      <c r="F12" s="20" t="s">
        <v>392</v>
      </c>
      <c r="G12" s="20"/>
    </row>
    <row r="13" spans="1:7" ht="18">
      <c r="A13" s="12"/>
      <c r="B13" s="20"/>
      <c r="E13" s="12"/>
      <c r="F13" s="20"/>
      <c r="G13" s="20"/>
    </row>
    <row r="14" spans="1:7" ht="18">
      <c r="A14" s="12"/>
      <c r="B14" s="20"/>
      <c r="E14" s="12"/>
      <c r="F14" s="20"/>
      <c r="G14" s="20"/>
    </row>
    <row r="15" spans="1:7" ht="18">
      <c r="A15" s="12"/>
      <c r="B15" s="20"/>
      <c r="E15" s="12"/>
      <c r="F15" s="20"/>
      <c r="G15" s="20"/>
    </row>
    <row r="16" spans="1:7" ht="18">
      <c r="A16" s="12"/>
      <c r="B16" s="20" t="s">
        <v>352</v>
      </c>
      <c r="E16" s="12"/>
      <c r="F16" s="20"/>
      <c r="G16" s="20"/>
    </row>
    <row r="17" spans="1:14" ht="18">
      <c r="A17" s="12"/>
      <c r="B17" s="20"/>
      <c r="E17" s="12"/>
      <c r="F17" s="20"/>
      <c r="G17" s="20"/>
    </row>
    <row r="18" spans="1:14" ht="18">
      <c r="A18" s="12" t="s">
        <v>363</v>
      </c>
      <c r="B18" s="20" t="s">
        <v>352</v>
      </c>
      <c r="E18" s="12"/>
      <c r="F18" s="20"/>
      <c r="G18" s="20"/>
    </row>
    <row r="19" spans="1:14" ht="18">
      <c r="A19" s="12" t="s">
        <v>390</v>
      </c>
      <c r="B19" s="20" t="s">
        <v>352</v>
      </c>
      <c r="E19" s="12" t="s">
        <v>361</v>
      </c>
      <c r="F19" s="20" t="s">
        <v>392</v>
      </c>
      <c r="G19" s="20"/>
    </row>
    <row r="20" spans="1:14" ht="18">
      <c r="A20" s="12" t="s">
        <v>369</v>
      </c>
      <c r="B20" s="20" t="s">
        <v>352</v>
      </c>
      <c r="E20" s="12" t="s">
        <v>413</v>
      </c>
      <c r="F20" s="20" t="s">
        <v>392</v>
      </c>
      <c r="G20" s="20"/>
      <c r="L20">
        <f>23/30</f>
        <v>0.76666666666666672</v>
      </c>
    </row>
    <row r="21" spans="1:14" ht="18">
      <c r="A21" s="12" t="s">
        <v>384</v>
      </c>
      <c r="B21" s="20" t="s">
        <v>352</v>
      </c>
      <c r="E21" s="12" t="s">
        <v>400</v>
      </c>
      <c r="F21" s="20" t="s">
        <v>392</v>
      </c>
      <c r="G21" s="20"/>
      <c r="L21">
        <f>10/12</f>
        <v>0.83333333333333337</v>
      </c>
    </row>
    <row r="22" spans="1:14" ht="18">
      <c r="A22" s="12" t="s">
        <v>353</v>
      </c>
      <c r="B22" s="20" t="s">
        <v>352</v>
      </c>
      <c r="E22" s="12" t="s">
        <v>436</v>
      </c>
      <c r="F22" s="20" t="s">
        <v>392</v>
      </c>
      <c r="G22" s="20"/>
      <c r="L22">
        <f>1</f>
        <v>1</v>
      </c>
    </row>
    <row r="23" spans="1:14" ht="18">
      <c r="A23" s="12" t="s">
        <v>381</v>
      </c>
      <c r="B23" s="20" t="s">
        <v>352</v>
      </c>
      <c r="E23" s="12" t="s">
        <v>425</v>
      </c>
      <c r="F23" s="20" t="s">
        <v>392</v>
      </c>
      <c r="G23" s="20"/>
      <c r="L23">
        <f>10/13</f>
        <v>0.76923076923076927</v>
      </c>
    </row>
    <row r="24" spans="1:14" ht="18">
      <c r="A24" s="12" t="s">
        <v>359</v>
      </c>
      <c r="B24" s="20" t="s">
        <v>352</v>
      </c>
      <c r="E24" s="12" t="s">
        <v>438</v>
      </c>
      <c r="F24" s="20" t="s">
        <v>392</v>
      </c>
      <c r="G24" s="20"/>
      <c r="N24">
        <f>AVERAGE(L20:L23)</f>
        <v>0.84230769230769231</v>
      </c>
    </row>
    <row r="25" spans="1:14" ht="18">
      <c r="A25" s="12" t="s">
        <v>386</v>
      </c>
      <c r="B25" s="20" t="s">
        <v>352</v>
      </c>
      <c r="E25" s="12" t="s">
        <v>427</v>
      </c>
      <c r="F25" s="20" t="s">
        <v>392</v>
      </c>
      <c r="G25" s="20"/>
    </row>
    <row r="26" spans="1:14" ht="18">
      <c r="A26" s="12" t="s">
        <v>370</v>
      </c>
      <c r="B26" s="20" t="s">
        <v>352</v>
      </c>
      <c r="E26" s="12" t="s">
        <v>388</v>
      </c>
      <c r="F26" s="20" t="s">
        <v>392</v>
      </c>
      <c r="G26" s="20"/>
    </row>
    <row r="27" spans="1:14" ht="18">
      <c r="A27" s="12" t="s">
        <v>373</v>
      </c>
      <c r="B27" s="20" t="s">
        <v>352</v>
      </c>
      <c r="E27" s="12" t="s">
        <v>415</v>
      </c>
      <c r="F27" s="20" t="s">
        <v>392</v>
      </c>
      <c r="G27" s="20"/>
      <c r="N27">
        <f>AVERAGE(L21:L23)</f>
        <v>0.86752136752136755</v>
      </c>
    </row>
    <row r="28" spans="1:14" ht="18">
      <c r="A28" s="12" t="s">
        <v>385</v>
      </c>
      <c r="B28" s="20" t="s">
        <v>352</v>
      </c>
      <c r="E28" s="12" t="s">
        <v>406</v>
      </c>
      <c r="F28" s="20" t="s">
        <v>392</v>
      </c>
      <c r="G28" s="20"/>
    </row>
    <row r="29" spans="1:14" ht="18">
      <c r="A29" s="12" t="s">
        <v>382</v>
      </c>
      <c r="B29" s="20" t="s">
        <v>352</v>
      </c>
      <c r="E29" s="12" t="s">
        <v>367</v>
      </c>
      <c r="F29" s="20" t="s">
        <v>392</v>
      </c>
      <c r="G29" s="20"/>
    </row>
    <row r="30" spans="1:14" ht="18">
      <c r="A30" s="12" t="s">
        <v>371</v>
      </c>
      <c r="B30" s="20" t="s">
        <v>352</v>
      </c>
      <c r="E30" s="12" t="s">
        <v>402</v>
      </c>
      <c r="F30" s="20" t="s">
        <v>392</v>
      </c>
      <c r="G30" s="20"/>
    </row>
    <row r="31" spans="1:14" ht="18">
      <c r="A31" s="12" t="s">
        <v>375</v>
      </c>
      <c r="B31" s="20" t="s">
        <v>352</v>
      </c>
      <c r="E31" s="12" t="s">
        <v>378</v>
      </c>
      <c r="F31" s="20" t="s">
        <v>392</v>
      </c>
      <c r="G31" s="20"/>
    </row>
    <row r="32" spans="1:14" ht="18">
      <c r="A32" s="12" t="s">
        <v>362</v>
      </c>
      <c r="B32" s="20" t="s">
        <v>352</v>
      </c>
      <c r="E32" s="12" t="s">
        <v>429</v>
      </c>
      <c r="F32" s="20" t="s">
        <v>392</v>
      </c>
      <c r="G32" s="20"/>
    </row>
    <row r="33" spans="1:7" ht="18">
      <c r="A33" s="12" t="s">
        <v>357</v>
      </c>
      <c r="B33" s="20" t="s">
        <v>352</v>
      </c>
      <c r="E33" s="12" t="s">
        <v>355</v>
      </c>
      <c r="F33" s="20" t="s">
        <v>392</v>
      </c>
      <c r="G33" s="20"/>
    </row>
    <row r="34" spans="1:7" ht="18">
      <c r="A34" s="12" t="s">
        <v>380</v>
      </c>
      <c r="B34" s="20" t="s">
        <v>352</v>
      </c>
      <c r="E34" s="12" t="s">
        <v>395</v>
      </c>
      <c r="F34" s="20" t="s">
        <v>392</v>
      </c>
      <c r="G34" s="20"/>
    </row>
    <row r="35" spans="1:7" ht="18">
      <c r="A35" s="12" t="s">
        <v>365</v>
      </c>
      <c r="B35" s="20" t="s">
        <v>352</v>
      </c>
      <c r="E35" s="12" t="s">
        <v>449</v>
      </c>
      <c r="F35" s="20" t="s">
        <v>392</v>
      </c>
      <c r="G35" s="20"/>
    </row>
    <row r="36" spans="1:7" ht="18">
      <c r="A36" s="12" t="s">
        <v>356</v>
      </c>
      <c r="B36" s="20" t="s">
        <v>352</v>
      </c>
      <c r="E36" s="12" t="s">
        <v>439</v>
      </c>
      <c r="F36" s="20" t="s">
        <v>392</v>
      </c>
      <c r="G36" s="20"/>
    </row>
    <row r="37" spans="1:7" ht="18">
      <c r="A37" s="12" t="s">
        <v>368</v>
      </c>
      <c r="B37" s="20" t="s">
        <v>352</v>
      </c>
      <c r="E37" s="12" t="s">
        <v>363</v>
      </c>
      <c r="F37" s="20" t="s">
        <v>392</v>
      </c>
      <c r="G37" s="20"/>
    </row>
    <row r="38" spans="1:7" ht="18">
      <c r="A38" s="12" t="s">
        <v>383</v>
      </c>
      <c r="B38" s="20" t="s">
        <v>352</v>
      </c>
      <c r="E38" s="12" t="s">
        <v>426</v>
      </c>
      <c r="F38" s="20" t="s">
        <v>392</v>
      </c>
      <c r="G38" s="20"/>
    </row>
    <row r="39" spans="1:7" ht="18">
      <c r="A39" s="12" t="s">
        <v>377</v>
      </c>
      <c r="B39" s="20" t="s">
        <v>352</v>
      </c>
      <c r="E39" s="12" t="s">
        <v>440</v>
      </c>
      <c r="F39" s="20" t="s">
        <v>392</v>
      </c>
      <c r="G39" s="20"/>
    </row>
    <row r="40" spans="1:7" ht="18">
      <c r="A40" s="12" t="s">
        <v>372</v>
      </c>
      <c r="B40" s="20" t="s">
        <v>352</v>
      </c>
      <c r="E40" s="12" t="s">
        <v>390</v>
      </c>
      <c r="F40" s="20" t="s">
        <v>392</v>
      </c>
      <c r="G40" s="20"/>
    </row>
    <row r="41" spans="1:7" ht="18">
      <c r="A41" s="12" t="s">
        <v>376</v>
      </c>
      <c r="B41" s="20" t="s">
        <v>352</v>
      </c>
      <c r="E41" s="12" t="s">
        <v>394</v>
      </c>
      <c r="F41" s="20" t="s">
        <v>392</v>
      </c>
      <c r="G41" s="20"/>
    </row>
    <row r="42" spans="1:7" ht="18">
      <c r="A42" s="12" t="s">
        <v>360</v>
      </c>
      <c r="B42" s="20" t="s">
        <v>352</v>
      </c>
      <c r="E42" s="12" t="s">
        <v>444</v>
      </c>
      <c r="F42" s="20" t="s">
        <v>422</v>
      </c>
      <c r="G42" s="20"/>
    </row>
    <row r="43" spans="1:7" ht="18">
      <c r="A43" s="12" t="s">
        <v>391</v>
      </c>
      <c r="B43" s="20" t="s">
        <v>352</v>
      </c>
      <c r="E43" s="12" t="s">
        <v>447</v>
      </c>
      <c r="F43" s="20" t="s">
        <v>392</v>
      </c>
      <c r="G43" s="20"/>
    </row>
    <row r="44" spans="1:7" ht="18">
      <c r="A44" s="12" t="s">
        <v>354</v>
      </c>
      <c r="B44" s="20" t="s">
        <v>352</v>
      </c>
      <c r="E44" s="12" t="s">
        <v>416</v>
      </c>
      <c r="F44" s="20" t="s">
        <v>392</v>
      </c>
      <c r="G44" s="20"/>
    </row>
    <row r="45" spans="1:7" ht="18">
      <c r="A45" s="12" t="s">
        <v>364</v>
      </c>
      <c r="B45" s="20" t="s">
        <v>352</v>
      </c>
      <c r="E45" s="12" t="s">
        <v>396</v>
      </c>
      <c r="F45" s="20" t="s">
        <v>392</v>
      </c>
      <c r="G45" s="20"/>
    </row>
    <row r="46" spans="1:7" ht="18">
      <c r="A46" s="12" t="s">
        <v>366</v>
      </c>
      <c r="B46" s="20" t="s">
        <v>352</v>
      </c>
      <c r="E46" s="12" t="s">
        <v>401</v>
      </c>
      <c r="F46" s="20" t="s">
        <v>392</v>
      </c>
      <c r="G46" s="20"/>
    </row>
    <row r="47" spans="1:7" ht="18">
      <c r="A47" s="12" t="s">
        <v>387</v>
      </c>
      <c r="B47" s="20" t="s">
        <v>352</v>
      </c>
      <c r="E47" s="12" t="s">
        <v>397</v>
      </c>
      <c r="F47" s="20" t="s">
        <v>392</v>
      </c>
      <c r="G47" s="20"/>
    </row>
    <row r="48" spans="1:7" ht="18">
      <c r="E48" s="12" t="s">
        <v>410</v>
      </c>
      <c r="F48" s="20" t="s">
        <v>392</v>
      </c>
      <c r="G48" s="20"/>
    </row>
    <row r="49" spans="5:7" ht="18">
      <c r="E49" s="12" t="s">
        <v>420</v>
      </c>
      <c r="F49" s="20" t="s">
        <v>392</v>
      </c>
      <c r="G49" s="20"/>
    </row>
    <row r="50" spans="5:7" ht="18">
      <c r="E50" s="12" t="s">
        <v>384</v>
      </c>
      <c r="F50" s="20" t="s">
        <v>392</v>
      </c>
      <c r="G50" s="20"/>
    </row>
    <row r="51" spans="5:7" ht="18">
      <c r="E51" s="12" t="s">
        <v>353</v>
      </c>
      <c r="F51" s="20" t="s">
        <v>392</v>
      </c>
      <c r="G51" s="20"/>
    </row>
    <row r="52" spans="5:7" ht="18">
      <c r="E52" s="12" t="s">
        <v>403</v>
      </c>
      <c r="F52" s="20" t="s">
        <v>392</v>
      </c>
      <c r="G52" s="20"/>
    </row>
    <row r="53" spans="5:7" ht="18">
      <c r="E53" s="12" t="s">
        <v>432</v>
      </c>
      <c r="F53" s="20" t="s">
        <v>392</v>
      </c>
      <c r="G53" s="20"/>
    </row>
    <row r="54" spans="5:7" ht="18">
      <c r="E54" s="12" t="s">
        <v>435</v>
      </c>
      <c r="F54" s="20" t="s">
        <v>392</v>
      </c>
      <c r="G54" s="20"/>
    </row>
    <row r="55" spans="5:7" ht="18">
      <c r="E55" s="12" t="s">
        <v>370</v>
      </c>
      <c r="F55" s="20" t="s">
        <v>392</v>
      </c>
      <c r="G55" s="20"/>
    </row>
    <row r="56" spans="5:7" ht="18">
      <c r="E56" s="12" t="s">
        <v>373</v>
      </c>
      <c r="F56" s="20" t="s">
        <v>392</v>
      </c>
      <c r="G56" s="20"/>
    </row>
    <row r="57" spans="5:7" ht="18">
      <c r="E57" s="12" t="s">
        <v>405</v>
      </c>
      <c r="F57" s="20" t="s">
        <v>392</v>
      </c>
      <c r="G57" s="20"/>
    </row>
    <row r="58" spans="5:7" ht="18">
      <c r="E58" s="12" t="s">
        <v>404</v>
      </c>
      <c r="F58" s="20" t="s">
        <v>392</v>
      </c>
      <c r="G58" s="20"/>
    </row>
    <row r="59" spans="5:7" ht="18">
      <c r="E59" s="12" t="s">
        <v>382</v>
      </c>
      <c r="F59" s="20" t="s">
        <v>392</v>
      </c>
      <c r="G59" s="20"/>
    </row>
    <row r="60" spans="5:7" ht="18">
      <c r="E60" s="12" t="s">
        <v>430</v>
      </c>
      <c r="F60" s="20" t="s">
        <v>392</v>
      </c>
      <c r="G60" s="20"/>
    </row>
    <row r="61" spans="5:7" ht="18">
      <c r="E61" s="12" t="s">
        <v>412</v>
      </c>
      <c r="F61" s="20" t="s">
        <v>392</v>
      </c>
      <c r="G61" s="20"/>
    </row>
    <row r="62" spans="5:7" ht="18">
      <c r="E62" s="12" t="s">
        <v>418</v>
      </c>
      <c r="F62" s="20" t="s">
        <v>392</v>
      </c>
      <c r="G62" s="20"/>
    </row>
    <row r="63" spans="5:7" ht="18">
      <c r="E63" s="12" t="s">
        <v>414</v>
      </c>
      <c r="F63" s="20" t="s">
        <v>392</v>
      </c>
      <c r="G63" s="20"/>
    </row>
    <row r="64" spans="5:7" ht="18">
      <c r="E64" s="12" t="s">
        <v>434</v>
      </c>
      <c r="F64" s="20" t="s">
        <v>392</v>
      </c>
      <c r="G64" s="20"/>
    </row>
    <row r="65" spans="5:7" ht="18">
      <c r="E65" s="12" t="s">
        <v>371</v>
      </c>
      <c r="F65" s="20" t="s">
        <v>392</v>
      </c>
      <c r="G65" s="20"/>
    </row>
    <row r="66" spans="5:7" ht="18">
      <c r="E66" s="12" t="s">
        <v>445</v>
      </c>
      <c r="F66" s="20" t="s">
        <v>392</v>
      </c>
      <c r="G66" s="20"/>
    </row>
    <row r="67" spans="5:7" ht="18">
      <c r="E67" s="12" t="s">
        <v>423</v>
      </c>
      <c r="F67" s="20" t="s">
        <v>422</v>
      </c>
      <c r="G67" s="20"/>
    </row>
    <row r="68" spans="5:7" ht="18">
      <c r="E68" s="12" t="s">
        <v>411</v>
      </c>
      <c r="F68" s="20" t="s">
        <v>392</v>
      </c>
      <c r="G68" s="20"/>
    </row>
    <row r="69" spans="5:7" ht="18">
      <c r="E69" s="12" t="s">
        <v>356</v>
      </c>
      <c r="F69" s="20" t="s">
        <v>392</v>
      </c>
      <c r="G69" s="20"/>
    </row>
    <row r="70" spans="5:7" ht="18">
      <c r="E70" s="12" t="s">
        <v>409</v>
      </c>
      <c r="F70" s="20" t="s">
        <v>392</v>
      </c>
      <c r="G70" s="20"/>
    </row>
    <row r="71" spans="5:7" ht="18">
      <c r="E71" s="12" t="s">
        <v>441</v>
      </c>
      <c r="F71" s="20" t="s">
        <v>392</v>
      </c>
      <c r="G71" s="20"/>
    </row>
    <row r="72" spans="5:7" ht="18">
      <c r="E72" s="12" t="s">
        <v>377</v>
      </c>
      <c r="F72" s="20" t="s">
        <v>392</v>
      </c>
      <c r="G72" s="20"/>
    </row>
    <row r="73" spans="5:7" ht="18">
      <c r="E73" s="12" t="s">
        <v>372</v>
      </c>
      <c r="F73" s="20" t="s">
        <v>392</v>
      </c>
      <c r="G73" s="20"/>
    </row>
    <row r="74" spans="5:7" ht="18">
      <c r="E74" s="12" t="s">
        <v>376</v>
      </c>
      <c r="F74" s="20" t="s">
        <v>392</v>
      </c>
      <c r="G74" s="20"/>
    </row>
    <row r="75" spans="5:7" ht="18">
      <c r="E75" s="12" t="s">
        <v>428</v>
      </c>
      <c r="F75" s="20" t="s">
        <v>392</v>
      </c>
      <c r="G75" s="20"/>
    </row>
    <row r="76" spans="5:7" ht="18">
      <c r="E76" s="12" t="s">
        <v>360</v>
      </c>
      <c r="F76" s="20" t="s">
        <v>392</v>
      </c>
      <c r="G76" s="20"/>
    </row>
    <row r="77" spans="5:7" ht="18">
      <c r="E77" s="12" t="s">
        <v>448</v>
      </c>
      <c r="F77" s="20" t="s">
        <v>392</v>
      </c>
      <c r="G77" s="20"/>
    </row>
    <row r="78" spans="5:7" ht="18">
      <c r="E78" s="12" t="s">
        <v>433</v>
      </c>
      <c r="F78" s="20" t="s">
        <v>392</v>
      </c>
      <c r="G78" s="20"/>
    </row>
    <row r="79" spans="5:7" ht="18">
      <c r="E79" s="12" t="s">
        <v>391</v>
      </c>
      <c r="F79" s="20" t="s">
        <v>392</v>
      </c>
      <c r="G79" s="20"/>
    </row>
    <row r="80" spans="5:7" ht="18">
      <c r="E80" s="12" t="s">
        <v>431</v>
      </c>
      <c r="F80" s="20" t="s">
        <v>392</v>
      </c>
      <c r="G80" s="20"/>
    </row>
    <row r="81" spans="5:7" ht="18">
      <c r="E81" s="12" t="s">
        <v>419</v>
      </c>
      <c r="F81" s="20" t="s">
        <v>392</v>
      </c>
      <c r="G81" s="20"/>
    </row>
    <row r="82" spans="5:7" ht="18">
      <c r="E82" s="12" t="s">
        <v>446</v>
      </c>
      <c r="F82" s="20" t="s">
        <v>392</v>
      </c>
      <c r="G82" s="20"/>
    </row>
    <row r="83" spans="5:7" ht="18">
      <c r="E83" s="12" t="s">
        <v>437</v>
      </c>
      <c r="F83" s="20" t="s">
        <v>392</v>
      </c>
      <c r="G83" s="20"/>
    </row>
    <row r="84" spans="5:7" ht="18">
      <c r="E84" s="12" t="s">
        <v>408</v>
      </c>
      <c r="F84" s="20" t="s">
        <v>392</v>
      </c>
      <c r="G84" s="20"/>
    </row>
    <row r="85" spans="5:7" ht="18">
      <c r="E85" s="12" t="s">
        <v>354</v>
      </c>
      <c r="F85" s="20" t="s">
        <v>392</v>
      </c>
      <c r="G85" s="20"/>
    </row>
    <row r="86" spans="5:7" ht="18">
      <c r="E86" s="12" t="s">
        <v>407</v>
      </c>
      <c r="F86" s="20" t="s">
        <v>392</v>
      </c>
      <c r="G86" s="20"/>
    </row>
    <row r="87" spans="5:7" ht="18">
      <c r="E87" s="12" t="s">
        <v>442</v>
      </c>
      <c r="F87" s="20" t="s">
        <v>392</v>
      </c>
      <c r="G87" s="20"/>
    </row>
    <row r="88" spans="5:7" ht="18">
      <c r="E88" s="12" t="s">
        <v>443</v>
      </c>
      <c r="F88" s="20" t="s">
        <v>392</v>
      </c>
      <c r="G88" s="20"/>
    </row>
    <row r="89" spans="5:7" ht="18">
      <c r="E89" s="12" t="s">
        <v>398</v>
      </c>
      <c r="F89" s="20" t="s">
        <v>392</v>
      </c>
      <c r="G89" s="20"/>
    </row>
    <row r="90" spans="5:7" ht="18">
      <c r="E90" s="12" t="s">
        <v>417</v>
      </c>
      <c r="F90" s="20" t="s">
        <v>392</v>
      </c>
      <c r="G90" s="20"/>
    </row>
    <row r="91" spans="5:7" ht="18">
      <c r="E91" s="12" t="s">
        <v>393</v>
      </c>
      <c r="F91" s="20" t="s">
        <v>392</v>
      </c>
      <c r="G91" s="20"/>
    </row>
    <row r="92" spans="5:7" ht="18">
      <c r="E92" s="12" t="s">
        <v>421</v>
      </c>
      <c r="F92" s="20" t="s">
        <v>392</v>
      </c>
      <c r="G92" s="20"/>
    </row>
    <row r="93" spans="5:7" ht="18">
      <c r="E93" s="12" t="s">
        <v>399</v>
      </c>
      <c r="F93" s="20" t="s">
        <v>392</v>
      </c>
      <c r="G93" s="20"/>
    </row>
    <row r="94" spans="5:7" ht="18">
      <c r="E94" s="12" t="s">
        <v>387</v>
      </c>
      <c r="F94" s="20" t="s">
        <v>392</v>
      </c>
      <c r="G94" s="20"/>
    </row>
    <row r="95" spans="5:7" ht="18">
      <c r="E95" s="12"/>
      <c r="F95" s="20"/>
      <c r="G95" s="20"/>
    </row>
  </sheetData>
  <sortState xmlns:xlrd2="http://schemas.microsoft.com/office/spreadsheetml/2017/richdata2" ref="A1:B47">
    <sortCondition ref="A4:A47"/>
  </sortState>
  <conditionalFormatting sqref="A1:A1048576 E1:E1048576">
    <cfRule type="duplicateValues" dxfId="0" priority="1"/>
  </conditionalFormatting>
  <hyperlinks>
    <hyperlink ref="A22" r:id="rId1" display="https://canvas.ucsd.edu/courses/71826/users/258229" xr:uid="{83CDC22B-7338-E24B-889A-ADEC571B2865}"/>
    <hyperlink ref="A44" r:id="rId2" display="https://canvas.ucsd.edu/courses/71826/users/100561" xr:uid="{2F18021A-4767-0E4A-A849-DF066C140634}"/>
    <hyperlink ref="A36" r:id="rId3" display="https://canvas.ucsd.edu/courses/71826/users/257909" xr:uid="{0664BBFB-18AB-CE4E-B9FD-54D6494DF3E6}"/>
    <hyperlink ref="A33" r:id="rId4" display="https://canvas.ucsd.edu/courses/71826/users/230168" xr:uid="{530BDCE9-0994-6942-A9C3-EB0095D6DA3A}"/>
    <hyperlink ref="A24" r:id="rId5" display="https://canvas.ucsd.edu/courses/71826/users/96065" xr:uid="{BC4228CE-E5D8-A245-A87C-C3E41536B909}"/>
    <hyperlink ref="A42" r:id="rId6" display="https://canvas.ucsd.edu/courses/71826/users/258039" xr:uid="{B995962D-7D27-C24F-A727-5967235E1BBD}"/>
    <hyperlink ref="A9" r:id="rId7" display="https://canvas.ucsd.edu/courses/71826/users/24481" xr:uid="{F29A20BB-BC73-5C4E-B2F8-FDCF1FA8399F}"/>
    <hyperlink ref="A32" r:id="rId8" display="https://canvas.ucsd.edu/courses/71826/users/257904" xr:uid="{4F47382F-9A05-334B-9CCD-91165F8D7B87}"/>
    <hyperlink ref="A18" r:id="rId9" display="https://canvas.ucsd.edu/courses/71826/users/103051" xr:uid="{E9DB97E4-6F46-3A42-8E50-C5FBE98BD501}"/>
    <hyperlink ref="A45" r:id="rId10" display="https://canvas.ucsd.edu/courses/71826/users/217172" xr:uid="{B146B6D5-2683-8F45-93FA-6284BDE3BC99}"/>
    <hyperlink ref="A35" r:id="rId11" display="https://canvas.ucsd.edu/courses/71826/users/127769" xr:uid="{B6563DD6-846D-E04A-8351-E83BA1350AFD}"/>
    <hyperlink ref="A46" r:id="rId12" display="https://canvas.ucsd.edu/courses/71826/users/216866" xr:uid="{BE892F37-122B-C84D-A25E-447D41612CBF}"/>
    <hyperlink ref="A37" r:id="rId13" display="https://canvas.ucsd.edu/courses/71826/users/126724" xr:uid="{D5242A80-D9B8-0149-8EF5-8B4FA9468027}"/>
    <hyperlink ref="A20" r:id="rId14" display="https://canvas.ucsd.edu/courses/71826/users/258242" xr:uid="{648CB1AA-D78B-D543-B482-961B3D7517A4}"/>
    <hyperlink ref="A26" r:id="rId15" display="https://canvas.ucsd.edu/courses/71826/users/257963" xr:uid="{3BC43686-702A-DC4F-8443-0CB5FA920566}"/>
    <hyperlink ref="A30" r:id="rId16" display="https://canvas.ucsd.edu/courses/71826/users/258387" xr:uid="{D72FAA30-EFCB-CE44-8C91-855764BE4C50}"/>
    <hyperlink ref="A40" r:id="rId17" display="https://canvas.ucsd.edu/courses/71826/users/97561" xr:uid="{D1806017-F997-9E4E-8EE6-791892D428F9}"/>
    <hyperlink ref="A27" r:id="rId18" display="https://canvas.ucsd.edu/courses/71826/users/257900" xr:uid="{A5AEBC25-DD62-2540-873B-A366AA48196B}"/>
    <hyperlink ref="A12" r:id="rId19" display="https://canvas.ucsd.edu/courses/71826/users/48607" xr:uid="{235B89C3-71FD-F340-B81E-609695B57427}"/>
    <hyperlink ref="A31" r:id="rId20" display="https://canvas.ucsd.edu/courses/71826/users/214857" xr:uid="{6692A9E4-E955-B94E-9095-B3386C24F29B}"/>
    <hyperlink ref="A41" r:id="rId21" display="https://canvas.ucsd.edu/courses/71826/users/244605" xr:uid="{0B6F1B32-5BD8-4F4C-9335-6A3154D7C623}"/>
    <hyperlink ref="A39" r:id="rId22" display="https://canvas.ucsd.edu/courses/71826/users/258343" xr:uid="{64013157-7BE7-9848-93FD-B311E5A61B0B}"/>
    <hyperlink ref="A5" r:id="rId23" display="https://canvas.ucsd.edu/courses/71826/users/245129" xr:uid="{0C6F28C9-2249-5649-9D54-E1D148FECE9F}"/>
    <hyperlink ref="A34" r:id="rId24" display="https://canvas.ucsd.edu/courses/71826/users/215275" xr:uid="{85C137F7-1C29-6F48-B3C2-710C55E264CE}"/>
    <hyperlink ref="A23" r:id="rId25" display="https://canvas.ucsd.edu/courses/71826/users/83122" xr:uid="{C681E1A1-73C1-5548-B467-999E0DEE8A20}"/>
    <hyperlink ref="A29" r:id="rId26" display="https://canvas.ucsd.edu/courses/71826/users/258147" xr:uid="{1C0E2BCE-7E9C-4645-8246-71F2C7D74FF2}"/>
    <hyperlink ref="A38" r:id="rId27" display="https://canvas.ucsd.edu/courses/71826/users/258528" xr:uid="{A42ACE0C-4942-0F48-98CF-4CF40F93DEA5}"/>
    <hyperlink ref="A21" r:id="rId28" display="https://canvas.ucsd.edu/courses/71826/users/246597" xr:uid="{C917FBD3-138F-5040-85AB-C620F2738E41}"/>
    <hyperlink ref="A28" r:id="rId29" display="https://canvas.ucsd.edu/courses/71826/users/257973" xr:uid="{06A7F336-5B10-B34F-B138-8258226261E3}"/>
    <hyperlink ref="A25" r:id="rId30" display="https://canvas.ucsd.edu/courses/71826/users/136258" xr:uid="{0DECAE7D-07B4-C449-A523-D1C5D066D665}"/>
    <hyperlink ref="A47" r:id="rId31" display="https://canvas.ucsd.edu/courses/71826/users/212716" xr:uid="{06B0E6F5-F94A-A943-B0B9-C2F5576D15B3}"/>
    <hyperlink ref="A10" r:id="rId32" display="https://canvas.ucsd.edu/courses/71826/users/103623" xr:uid="{DCAD4231-B603-5941-AA5F-E0EA3635E1AC}"/>
    <hyperlink ref="A1" r:id="rId33" display="https://canvas.ucsd.edu/courses/71826/users/258338" xr:uid="{2E12AC29-211B-1847-9258-D6973B9B7066}"/>
    <hyperlink ref="A19" r:id="rId34" display="https://canvas.ucsd.edu/courses/71826/users/258000" xr:uid="{8D38EE85-18F4-4F4D-A48B-889A37BD2FE7}"/>
    <hyperlink ref="A43" r:id="rId35" display="https://canvas.ucsd.edu/courses/71826/users/97235" xr:uid="{DE6861E9-1BBD-7647-BA60-9B988E95CBE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Sheet4</vt:lpstr>
      <vt:lpstr>cleantech SD members</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Caleb Rooney</dc:creator>
  <cp:lastModifiedBy>Caleb Rooney</cp:lastModifiedBy>
  <dcterms:created xsi:type="dcterms:W3CDTF">2025-10-07T06:59:08Z</dcterms:created>
  <dcterms:modified xsi:type="dcterms:W3CDTF">2026-03-04T03:09:24Z</dcterms:modified>
</cp:coreProperties>
</file>